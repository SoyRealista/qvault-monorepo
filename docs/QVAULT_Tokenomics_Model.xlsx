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Overview" sheetId="2" state="visible" r:id="rId4"/>
    <sheet name="⚡ Fee Mechanics" sheetId="3" state="visible" r:id="rId5"/>
    <sheet name="📅 Vesting Schedule" sheetId="4" state="visible" r:id="rId6"/>
    <sheet name="📈 Price Scenarios" sheetId="5" state="visible" r:id="rId7"/>
    <sheet name="🔥 Buyback &amp; Bur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<sst xmlns="http://schemas.openxmlformats.org/spreadsheetml/2006/main" count="237" uniqueCount="212">
  <si>
    <t xml:space="preserve">📊  QVAULT — Executive Dashboard</t>
  </si>
  <si>
    <t xml:space="preserve">Key metrics summary | All values linked from model sheets | Do not edit directly</t>
  </si>
  <si>
    <t xml:space="preserve">Total Supply</t>
  </si>
  <si>
    <t xml:space="preserve">Launch Price</t>
  </si>
  <si>
    <t xml:space="preserve">Initial FDV</t>
  </si>
  <si>
    <t xml:space="preserve">Fair Launch %</t>
  </si>
  <si>
    <t xml:space="preserve">Max APY</t>
  </si>
  <si>
    <t xml:space="preserve">Buyback Rate</t>
  </si>
  <si>
    <t xml:space="preserve">TOKEN DISTRIBUTION SUMMARY</t>
  </si>
  <si>
    <t xml:space="preserve">Allocation</t>
  </si>
  <si>
    <t xml:space="preserve">% Supply</t>
  </si>
  <si>
    <t xml:space="preserve">Tokens</t>
  </si>
  <si>
    <t xml:space="preserve">USD Value</t>
  </si>
  <si>
    <t xml:space="preserve">Vesting</t>
  </si>
  <si>
    <t xml:space="preserve">Fair Launch</t>
  </si>
  <si>
    <t xml:space="preserve">No lock</t>
  </si>
  <si>
    <t xml:space="preserve">Community</t>
  </si>
  <si>
    <t xml:space="preserve">36m linear</t>
  </si>
  <si>
    <t xml:space="preserve">Treasury</t>
  </si>
  <si>
    <t xml:space="preserve">DAO vote</t>
  </si>
  <si>
    <t xml:space="preserve">Team</t>
  </si>
  <si>
    <t xml:space="preserve">12m cliff + 24m</t>
  </si>
  <si>
    <t xml:space="preserve">Liquidity</t>
  </si>
  <si>
    <t xml:space="preserve">Protocol-locked</t>
  </si>
  <si>
    <t xml:space="preserve">Partners</t>
  </si>
  <si>
    <t xml:space="preserve">6m cliff + 18m</t>
  </si>
  <si>
    <t xml:space="preserve">FEE SPLIT SUMMARY</t>
  </si>
  <si>
    <t xml:space="preserve">Destination</t>
  </si>
  <si>
    <t xml:space="preserve">% of Fees</t>
  </si>
  <si>
    <t xml:space="preserve">Purpose</t>
  </si>
  <si>
    <t xml:space="preserve">Staker Rewards</t>
  </si>
  <si>
    <t xml:space="preserve">Weekly rewards to $QVLT stakers</t>
  </si>
  <si>
    <t xml:space="preserve">Buyback &amp; Burn 🔥</t>
  </si>
  <si>
    <t xml:space="preserve">Open-market buyback → permanent burn</t>
  </si>
  <si>
    <t xml:space="preserve">DAO Treasury</t>
  </si>
  <si>
    <t xml:space="preserve">Protocol development, grants, partnerships</t>
  </si>
  <si>
    <t xml:space="preserve">Growth &amp; Marketing</t>
  </si>
  <si>
    <t xml:space="preserve">Community growth, listings, campaigns</t>
  </si>
  <si>
    <t xml:space="preserve">⬡  QVAULT ($QVLT) — Tokenomics Model</t>
  </si>
  <si>
    <t xml:space="preserve">Version 1.0  |  May 2026  |  All figures in USD unless noted  |  Blue = inputs, Black = formulas</t>
  </si>
  <si>
    <t xml:space="preserve">KEY PARAMETERS &amp; ASSUMPTIONS</t>
  </si>
  <si>
    <t xml:space="preserve">Total Supply (tokens)</t>
  </si>
  <si>
    <t xml:space="preserve">Fixed supply — no additional minting</t>
  </si>
  <si>
    <t xml:space="preserve">Launch Price (USD)</t>
  </si>
  <si>
    <t xml:space="preserve">Initial listing price assumption</t>
  </si>
  <si>
    <t xml:space="preserve">Initial Market Cap (USD)</t>
  </si>
  <si>
    <t xml:space="preserve">Target FDV at TGE (USD)</t>
  </si>
  <si>
    <t xml:space="preserve">Fully diluted valuation at launch</t>
  </si>
  <si>
    <t xml:space="preserve">Assumed Peak Market Cap (Year 2)</t>
  </si>
  <si>
    <t xml:space="preserve">Conservative bull case</t>
  </si>
  <si>
    <t xml:space="preserve">Annual Protocol Fee Revenue (Yr 1)</t>
  </si>
  <si>
    <t xml:space="preserve">Projected from staking + ecosystem</t>
  </si>
  <si>
    <t xml:space="preserve">Fee Growth Rate (YoY)</t>
  </si>
  <si>
    <t xml:space="preserve">Year-over-year fee revenue growth</t>
  </si>
  <si>
    <t xml:space="preserve">Buyback Rate (% of fees)</t>
  </si>
  <si>
    <t xml:space="preserve">% of fees used for buyback &amp; burn</t>
  </si>
  <si>
    <t xml:space="preserve">Staker Reward Rate (% of fees)</t>
  </si>
  <si>
    <t xml:space="preserve">% of fees distributed to stakers</t>
  </si>
  <si>
    <t xml:space="preserve">Expected Launch Date</t>
  </si>
  <si>
    <t xml:space="preserve">Q3 2026</t>
  </si>
  <si>
    <t xml:space="preserve">Fair launch on Solana / Raydium</t>
  </si>
  <si>
    <t xml:space="preserve">TOKEN DISTRIBUTION</t>
  </si>
  <si>
    <t xml:space="preserve">USD Value @ Launch</t>
  </si>
  <si>
    <t xml:space="preserve">Unlock Schedule</t>
  </si>
  <si>
    <t xml:space="preserve">Color</t>
  </si>
  <si>
    <t xml:space="preserve">No lock — 100% at TGE</t>
  </si>
  <si>
    <t xml:space="preserve">100% at TGE</t>
  </si>
  <si>
    <t xml:space="preserve">●</t>
  </si>
  <si>
    <t xml:space="preserve">Community &amp; Ecosystem</t>
  </si>
  <si>
    <t xml:space="preserve">36-month linear vest</t>
  </si>
  <si>
    <t xml:space="preserve">~2.78%/month</t>
  </si>
  <si>
    <t xml:space="preserve">DAO governance controlled</t>
  </si>
  <si>
    <t xml:space="preserve">Per DAO vote</t>
  </si>
  <si>
    <t xml:space="preserve">Team &amp; Advisors</t>
  </si>
  <si>
    <t xml:space="preserve">12m cliff + 24m linear vest</t>
  </si>
  <si>
    <t xml:space="preserve">0% → 8.3%/month</t>
  </si>
  <si>
    <t xml:space="preserve">Liquidity Provision</t>
  </si>
  <si>
    <t xml:space="preserve">Locked in LP</t>
  </si>
  <si>
    <t xml:space="preserve">Strategic Partners</t>
  </si>
  <si>
    <t xml:space="preserve">6m cliff + 18m linear vest</t>
  </si>
  <si>
    <t xml:space="preserve">0% → 5.6%/month</t>
  </si>
  <si>
    <t xml:space="preserve">TOTAL</t>
  </si>
  <si>
    <t xml:space="preserve">⚡  QVAULT — Fee Mechanics &amp; Staking Model</t>
  </si>
  <si>
    <t xml:space="preserve">Fee distribution model | Staking tier yields | Linked to Overview assumptions</t>
  </si>
  <si>
    <t xml:space="preserve">PROTOCOL FEE DISTRIBUTION — ANNUAL PROJECTIONS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</si>
  <si>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</si>
  <si>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</si>
  <si>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</si>
  <si>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</si>
  <si>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</si>
  <si>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</si>
  <si>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Gross Protocol Fees (USD)</t>
  </si>
  <si>
    <t xml:space="preserve">→ Staker Rewards (40%)</t>
  </si>
  <si>
    <t xml:space="preserve">→ Buyback &amp; Burn (20%)</t>
  </si>
  <si>
    <t xml:space="preserve">→ DAO Treasury (25%)</t>
  </si>
  <si>
    <t xml:space="preserve">→ Growth &amp; Marketing (15%)</t>
  </si>
  <si>
    <t xml:space="preserve">Check (should = 100%)</t>
  </si>
  <si>
    <t xml:space="preserve">STAKING TIERS — YIELD CALCULATOR</t>
  </si>
  <si>
    <t xml:space="preserve">Tier</t>
  </si>
  <si>
    <t xml:space="preserve">Min Stake (QVLT)</t>
  </si>
  <si>
    <t xml:space="preserve">Min Stake (USD)</t>
  </si>
  <si>
    <t xml:space="preserve">APY Low</t>
  </si>
  <si>
    <t xml:space="preserve">APY High</t>
  </si>
  <si>
    <t xml:space="preserve">Annual Yield Low</t>
  </si>
  <si>
    <t xml:space="preserve">Annual Yield High</t>
  </si>
  <si>
    <t xml:space="preserve">Electron ⚡</t>
  </si>
  <si>
    <t xml:space="preserve">Photon 🔆</t>
  </si>
  <si>
    <t xml:space="preserve">Qubit 🔐</t>
  </si>
  <si>
    <t xml:space="preserve">HOLDER SCENARIO — BREAKEVEN &amp; RETURN ANALYSIS</t>
  </si>
  <si>
    <t xml:space="preserve">Investment (USD)</t>
  </si>
  <si>
    <t xml:space="preserve">Tokens Received</t>
  </si>
  <si>
    <t xml:space="preserve">Staking Tier</t>
  </si>
  <si>
    <t xml:space="preserve">APY Assumed</t>
  </si>
  <si>
    <t xml:space="preserve">Annual Token Yield</t>
  </si>
  <si>
    <t xml:space="preserve">Annual USD Yield (@ launch price)</t>
  </si>
  <si>
    <t xml:space="preserve">Breakeven (months @ launch price)</t>
  </si>
  <si>
    <t xml:space="preserve">3x Return Price Target</t>
  </si>
  <si>
    <t xml:space="preserve">10x Return Price Target</t>
  </si>
  <si>
    <t xml:space="preserve">📅  QVAULT — Token Vesting &amp; Unlock Schedule</t>
  </si>
  <si>
    <t xml:space="preserve">Monthly token unlock by allocation (millions) | Columns = months from TGE</t>
  </si>
  <si>
    <t xml:space="preserve">Allocation / Month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</si>
  <si>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</si>
  <si>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</si>
  <si>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</si>
  <si>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</si>
  <si>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</si>
  <si>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</si>
  <si>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</si>
  <si>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</si>
  <si>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</si>
  <si>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</si>
  <si>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</si>
  <si>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</si>
  <si>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</si>
  <si>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</si>
  <si>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</si>
  <si>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</si>
  <si>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</si>
  <si>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</si>
  <si>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</si>
  <si>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</si>
  <si>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</si>
  <si>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</si>
  <si>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</si>
  <si>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</si>
  <si>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M25</t>
  </si>
  <si>
    <t xml:space="preserve">M26</t>
  </si>
  <si>
    <t xml:space="preserve">M27</t>
  </si>
  <si>
    <t xml:space="preserve">M28</t>
  </si>
  <si>
    <t xml:space="preserve">M29</t>
  </si>
  <si>
    <t xml:space="preserve">M30</t>
  </si>
  <si>
    <t xml:space="preserve">M31</t>
  </si>
  <si>
    <t xml:space="preserve">M32</t>
  </si>
  <si>
    <t xml:space="preserve">M33</t>
  </si>
  <si>
    <t xml:space="preserve">M34</t>
  </si>
  <si>
    <t xml:space="preserve">M35</t>
  </si>
  <si>
    <t xml:space="preserve">M36</t>
  </si>
  <si>
    <t xml:space="preserve">M37</t>
  </si>
  <si>
    <t xml:space="preserve">Fair Launch (400M)</t>
  </si>
  <si>
    <t xml:space="preserve">Community &amp; Ecosystem (250M)</t>
  </si>
  <si>
    <t xml:space="preserve">DAO Treasury (150M)</t>
  </si>
  <si>
    <t xml:space="preserve">Team &amp; Advisors (100M)</t>
  </si>
  <si>
    <t xml:space="preserve">Liquidity (70M)</t>
  </si>
  <si>
    <t xml:space="preserve">Strategic Partners (30M)</t>
  </si>
  <si>
    <t xml:space="preserve">TOTAL MONTHLY UNLOCK (M)</t>
  </si>
  <si>
    <t xml:space="preserve">CUMULATIVE CIRCULATING (M)</t>
  </si>
  <si>
    <t xml:space="preserve">📈  QVAULT — Price &amp; Market Cap Scenario Analysis</t>
  </si>
  <si>
    <t xml:space="preserve">3 scenarios × 5 years | Linked to Overview | Blue = inputs</t>
  </si>
  <si>
    <t xml:space="preserve">SCENARIO ASSUMPTIONS</t>
  </si>
  <si>
    <t xml:space="preserve">Assumption</t>
  </si>
  <si>
    <t xml:space="preserve">Bear 🐻</t>
  </si>
  <si>
    <t xml:space="preserve">Base 📊</t>
  </si>
  <si>
    <t xml:space="preserve">Bull 🚀</t>
  </si>
  <si>
    <t xml:space="preserve">Market Cap Year 1 (USD)</t>
  </si>
  <si>
    <t xml:space="preserve">Annual Growth Rate (Yrs 2-5)</t>
  </si>
  <si>
    <t xml:space="preserve">Peak Market Cap (USD)</t>
  </si>
  <si>
    <t xml:space="preserve">Price at Peak (USD)</t>
  </si>
  <si>
    <t xml:space="preserve">Return on $1,000 invested @ launch</t>
  </si>
  <si>
    <t xml:space="preserve">PRICE PROJECTION BY YEAR &amp; SCENARIO</t>
  </si>
  <si>
    <t xml:space="preserve">Year</t>
  </si>
  <si>
    <t xml:space="preserve">Bear 🐻 — Market Cap</t>
  </si>
  <si>
    <t xml:space="preserve">Bear 🐻 — Price (USD)</t>
  </si>
  <si>
    <t xml:space="preserve">Base 📊 — Market Cap</t>
  </si>
  <si>
    <t xml:space="preserve">Base 📊 — Price (USD)</t>
  </si>
  <si>
    <t xml:space="preserve">Bull 🚀 — Market Cap</t>
  </si>
  <si>
    <t xml:space="preserve">Bull 🚀 — Price (USD)</t>
  </si>
  <si>
    <t xml:space="preserve">ROI MATRIX — INVESTMENT SIZE × SCENARIO</t>
  </si>
  <si>
    <t xml:space="preserve">Bear 🐻 — Peak Value</t>
  </si>
  <si>
    <t xml:space="preserve">Bear 🐻 — Return</t>
  </si>
  <si>
    <t xml:space="preserve">Base 📊 — Peak Value</t>
  </si>
  <si>
    <t xml:space="preserve">Base 📊 — Return</t>
  </si>
  <si>
    <t xml:space="preserve">Bull 🚀 — Peak Value</t>
  </si>
  <si>
    <t xml:space="preserve">Bull 🚀 — Return</t>
  </si>
  <si>
    <t xml:space="preserve">🔥  QVAULT — Buyback &amp; Burn / Deflationary Model</t>
  </si>
  <si>
    <t xml:space="preserve">Models token supply reduction from buyback-and-burn | Deflationary pressure on $QVLT price</t>
  </si>
  <si>
    <t xml:space="preserve">ANNUAL BUYBACK &amp; BURN PROJECTIONS</t>
  </si>
  <si>
    <t xml:space="preserve">Notes</t>
  </si>
  <si>
    <t xml:space="preserve">Protocol Fees (USD)</t>
  </si>
  <si>
    <t xml:space="preserve">Linked from Fee Mechanics sheet</t>
  </si>
  <si>
    <t xml:space="preserve">Linked from Overview assumptions</t>
  </si>
  <si>
    <t xml:space="preserve">USD Spent on Buyback</t>
  </si>
  <si>
    <t xml:space="preserve">Protocol USD used to buy $QVLT from market</t>
  </si>
  <si>
    <t xml:space="preserve">Avg Token Price (assumed)</t>
  </si>
  <si>
    <t xml:space="preserve">Input: avg price assumption per year</t>
  </si>
  <si>
    <t xml:space="preserve">Tokens Bought &amp; Burned</t>
  </si>
  <si>
    <t xml:space="preserve">USD spent ÷ avg price</t>
  </si>
  <si>
    <t xml:space="preserve">Cumulative Tokens Burned</t>
  </si>
  <si>
    <t xml:space="preserve">Running total burned since TGE</t>
  </si>
  <si>
    <t xml:space="preserve">Remaining Supply (B tokens)</t>
  </si>
  <si>
    <t xml:space="preserve">1B minus cumulative burned</t>
  </si>
  <si>
    <t xml:space="preserve">% Supply Burned</t>
  </si>
  <si>
    <t xml:space="preserve">Deflationary % of original supply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</si>
</sst>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"/>
    <numFmt numFmtId="166" formatCode="\$#,##0.0000"/>
    <numFmt numFmtId="167" formatCode="\$#,##0"/>
    <numFmt numFmtId="168" formatCode="0.0%"/>
    <numFmt numFmtId="169" formatCode="0%"/>
    <numFmt numFmtId="170" formatCode="@"/>
    <numFmt numFmtId="171" formatCode="0.0&quot;mo&quot;"/>
    <numFmt numFmtId="172" formatCode="#,##0.00"/>
    <numFmt numFmtId="173" formatCode="\$#,##0.00000"/>
    <numFmt numFmtId="174" formatCode="0.000000"/>
    <numFmt numFmtId="175" formatCode="0.000%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D4FF"/>
      <name val="Arial"/>
      <family val="0"/>
      <charset val="1"/>
    </font>
    <font>
      <i val="true"/>
      <sz val="9"/>
      <color rgb="FF7070A0"/>
      <name val="Arial"/>
      <family val="0"/>
      <charset val="1"/>
    </font>
    <font>
      <sz val="9"/>
      <color rgb="FF7070A0"/>
      <name val="Arial"/>
      <family val="0"/>
      <charset val="1"/>
    </font>
    <font>
      <b val="true"/>
      <sz val="14"/>
      <color rgb="FF6C63FF"/>
      <name val="Arial"/>
      <family val="0"/>
      <charset val="1"/>
    </font>
    <font>
      <b val="true"/>
      <sz val="14"/>
      <color rgb="FF00D4FF"/>
      <name val="Arial"/>
      <family val="0"/>
      <charset val="1"/>
    </font>
    <font>
      <b val="true"/>
      <sz val="14"/>
      <color rgb="FF00FF9D"/>
      <name val="Arial"/>
      <family val="0"/>
      <charset val="1"/>
    </font>
    <font>
      <b val="true"/>
      <sz val="14"/>
      <color rgb="FFFF6B9D"/>
      <name val="Arial"/>
      <family val="0"/>
      <charset val="1"/>
    </font>
    <font>
      <b val="true"/>
      <sz val="14"/>
      <color rgb="FFFFD700"/>
      <name val="Arial"/>
      <family val="0"/>
      <charset val="1"/>
    </font>
    <font>
      <b val="true"/>
      <sz val="14"/>
      <color rgb="FFFF8C42"/>
      <name val="Arial"/>
      <family val="0"/>
      <charset val="1"/>
    </font>
    <font>
      <b val="true"/>
      <sz val="11"/>
      <color rgb="FF00D4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6C63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D4FF"/>
      <name val="Arial"/>
      <family val="0"/>
      <charset val="1"/>
    </font>
    <font>
      <b val="true"/>
      <sz val="10"/>
      <color rgb="FF00FF9D"/>
      <name val="Arial"/>
      <family val="0"/>
      <charset val="1"/>
    </font>
    <font>
      <b val="true"/>
      <sz val="10"/>
      <color rgb="FFFF6B9D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color rgb="FFFF8C42"/>
      <name val="Arial"/>
      <family val="0"/>
      <charset val="1"/>
    </font>
    <font>
      <b val="true"/>
      <sz val="12"/>
      <color rgb="FF00D4FF"/>
      <name val="Arial"/>
      <family val="0"/>
      <charset val="1"/>
    </font>
    <font>
      <b val="true"/>
      <sz val="12"/>
      <color rgb="FFFF6B9D"/>
      <name val="Arial"/>
      <family val="0"/>
      <charset val="1"/>
    </font>
    <font>
      <b val="true"/>
      <sz val="12"/>
      <color rgb="FF00FF9D"/>
      <name val="Arial"/>
      <family val="0"/>
      <charset val="1"/>
    </font>
    <font>
      <b val="true"/>
      <sz val="12"/>
      <color rgb="FFFFD7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C0C0D8"/>
      <name val="Arial"/>
      <family val="0"/>
      <charset val="1"/>
    </font>
    <font>
      <sz val="16"/>
      <color rgb="FF6C63FF"/>
      <name val="Arial"/>
      <family val="0"/>
      <charset val="1"/>
    </font>
    <font>
      <sz val="16"/>
      <color rgb="FF00D4FF"/>
      <name val="Arial"/>
      <family val="0"/>
      <charset val="1"/>
    </font>
    <font>
      <sz val="16"/>
      <color rgb="FF00FF9D"/>
      <name val="Arial"/>
      <family val="0"/>
      <charset val="1"/>
    </font>
    <font>
      <sz val="16"/>
      <color rgb="FFFF6B9D"/>
      <name val="Arial"/>
      <family val="0"/>
      <charset val="1"/>
    </font>
    <font>
      <sz val="16"/>
      <color rgb="FFFFD700"/>
      <name val="Arial"/>
      <family val="0"/>
      <charset val="1"/>
    </font>
    <font>
      <sz val="16"/>
      <color rgb="FFFF8C42"/>
      <name val="Arial"/>
      <family val="0"/>
      <charset val="1"/>
    </font>
    <font>
      <b val="true"/>
      <sz val="16"/>
      <color rgb="FF00D4FF"/>
      <name val="Arial"/>
      <family val="0"/>
      <charset val="1"/>
    </font>
    <font>
      <b val="true"/>
      <sz val="10"/>
      <color rgb="FFC0C0D8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8"/>
      <color rgb="FF00D4FF"/>
      <name val="Arial"/>
      <family val="0"/>
      <charset val="1"/>
    </font>
    <font>
      <b val="true"/>
      <sz val="8"/>
      <color rgb="FFC0C0D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00D4FF"/>
      <name val="Arial"/>
      <family val="0"/>
      <charset val="1"/>
    </font>
    <font>
      <b val="true"/>
      <sz val="9"/>
      <color rgb="FF00FF9D"/>
      <name val="Arial"/>
      <family val="0"/>
      <charset val="1"/>
    </font>
    <font>
      <b val="true"/>
      <sz val="10"/>
      <color rgb="FFAA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AA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7071A"/>
        <bgColor rgb="FF0D0D2B"/>
      </patternFill>
    </fill>
    <fill>
      <patternFill patternType="solid">
        <fgColor rgb="FF0D0D2B"/>
        <bgColor rgb="FF07071A"/>
      </patternFill>
    </fill>
    <fill>
      <patternFill patternType="solid">
        <fgColor rgb="FFFFFFFF"/>
        <bgColor rgb="FFF8F8F8"/>
      </patternFill>
    </fill>
    <fill>
      <patternFill patternType="solid">
        <fgColor rgb="FFF0F0FF"/>
        <bgColor rgb="FFEDE8FF"/>
      </patternFill>
    </fill>
    <fill>
      <patternFill patternType="solid">
        <fgColor rgb="FFFFFBE6"/>
        <bgColor rgb="FFF8F8F8"/>
      </patternFill>
    </fill>
    <fill>
      <patternFill patternType="solid">
        <fgColor rgb="FFEDE8FF"/>
        <bgColor rgb="FFF0F0FF"/>
      </patternFill>
    </fill>
    <fill>
      <patternFill patternType="solid">
        <fgColor rgb="FF6C63FF"/>
        <bgColor rgb="FF7070A0"/>
      </patternFill>
    </fill>
    <fill>
      <patternFill patternType="solid">
        <fgColor rgb="FFF8F8F8"/>
        <bgColor rgb="FFFFFFFF"/>
      </patternFill>
    </fill>
    <fill>
      <patternFill patternType="solid">
        <fgColor rgb="FF00D4FF"/>
        <bgColor rgb="FF00FFFF"/>
      </patternFill>
    </fill>
    <fill>
      <patternFill patternType="solid">
        <fgColor rgb="FF00FF9D"/>
        <bgColor rgb="FF00FFFF"/>
      </patternFill>
    </fill>
    <fill>
      <patternFill patternType="solid">
        <fgColor rgb="FFFF6B9D"/>
        <bgColor rgb="FFFF99CC"/>
      </patternFill>
    </fill>
    <fill>
      <patternFill patternType="solid">
        <fgColor rgb="FFFFD700"/>
        <bgColor rgb="FFFFFF00"/>
      </patternFill>
    </fill>
    <fill>
      <patternFill patternType="solid">
        <fgColor rgb="FFFF8C42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D8"/>
      </left>
      <right style="thin">
        <color rgb="FFC0C0D8"/>
      </right>
      <top style="thin">
        <color rgb="FFC0C0D8"/>
      </top>
      <bottom style="thin">
        <color rgb="FFC0C0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8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4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1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2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16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9D"/>
      <rgbColor rgb="FFAA0000"/>
      <rgbColor rgb="FF008000"/>
      <rgbColor rgb="FF0D0D2B"/>
      <rgbColor rgb="FF808000"/>
      <rgbColor rgb="FF800080"/>
      <rgbColor rgb="FF008080"/>
      <rgbColor rgb="FFC0C0D8"/>
      <rgbColor rgb="FF808080"/>
      <rgbColor rgb="FF9999FF"/>
      <rgbColor rgb="FF993366"/>
      <rgbColor rgb="FFFFFBE6"/>
      <rgbColor rgb="FFF0F0FF"/>
      <rgbColor rgb="FF660066"/>
      <rgbColor rgb="FFFF6B9D"/>
      <rgbColor rgb="FF0066CC"/>
      <rgbColor rgb="FFEDE8FF"/>
      <rgbColor rgb="FF07071A"/>
      <rgbColor rgb="FFFF00FF"/>
      <rgbColor rgb="FFFFFF00"/>
      <rgbColor rgb="FF00FFFF"/>
      <rgbColor rgb="FF800080"/>
      <rgbColor rgb="FF800000"/>
      <rgbColor rgb="FF008080"/>
      <rgbColor rgb="FF0000FF"/>
      <rgbColor rgb="FF00D4FF"/>
      <rgbColor rgb="FFF8F8F8"/>
      <rgbColor rgb="FFCCFFCC"/>
      <rgbColor rgb="FFFFFF99"/>
      <rgbColor rgb="FF99CCFF"/>
      <rgbColor rgb="FFFF99CC"/>
      <rgbColor rgb="FFCC99FF"/>
      <rgbColor rgb="FFFFCC99"/>
      <rgbColor rgb="FF6C63FF"/>
      <rgbColor rgb="FF33CCCC"/>
      <rgbColor rgb="FF99CC00"/>
      <rgbColor rgb="FFFFD700"/>
      <rgbColor rgb="FFFF8C42"/>
      <rgbColor rgb="FFFF6600"/>
      <rgbColor rgb="FF7070A0"/>
      <rgbColor rgb="FF969696"/>
      <rgbColor rgb="FF003366"/>
      <rgbColor rgb="FF00A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6" min="2" style="1" width="18"/>
    <col collapsed="false" customWidth="true" hidden="false" outlineLevel="0" max="7" min="7" style="1" width="20"/>
  </cols>
  <sheetData>
    <row r="1" customFormat="false" ht="43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12" hidden="false" customHeight="true" outlineLevel="0" collapsed="false"/>
    <row r="4" customFormat="false" ht="36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27.75" hidden="false" customHeight="true" outlineLevel="0" collapsed="false">
      <c r="A5" s="5" t="n">
        <f aca="false">'📋 Overview'!B5</f>
        <v>1000000000</v>
      </c>
      <c r="B5" s="6" t="n">
        <f aca="false">'📋 Overview'!B6</f>
        <v>0.001</v>
      </c>
      <c r="C5" s="7" t="n">
        <f aca="false">'📋 Overview'!B5*'📋 Overview'!B6</f>
        <v>1000000</v>
      </c>
      <c r="D5" s="8" t="n">
        <f aca="false">0.4</f>
        <v>0.4</v>
      </c>
      <c r="E5" s="9" t="n">
        <f aca="false">0.3</f>
        <v>0.3</v>
      </c>
      <c r="F5" s="10" t="n">
        <f aca="false">'📋 Overview'!B13</f>
        <v>0.4</v>
      </c>
    </row>
    <row r="6" customFormat="false" ht="12" hidden="false" customHeight="true" outlineLevel="0" collapsed="false"/>
    <row r="7" customFormat="false" ht="21.75" hidden="false" customHeight="true" outlineLevel="0" collapsed="false">
      <c r="A7" s="11" t="s">
        <v>8</v>
      </c>
      <c r="B7" s="11"/>
      <c r="C7" s="11"/>
      <c r="D7" s="11"/>
      <c r="E7" s="11"/>
      <c r="F7" s="11"/>
      <c r="G7" s="11"/>
    </row>
    <row r="8" customFormat="false" ht="18" hidden="false" customHeight="true" outlineLevel="0" collapsed="false">
      <c r="A8" s="12" t="s">
        <v>9</v>
      </c>
      <c r="B8" s="12" t="s">
        <v>10</v>
      </c>
      <c r="C8" s="12" t="s">
        <v>11</v>
      </c>
      <c r="D8" s="12" t="s">
        <v>12</v>
      </c>
      <c r="E8" s="12" t="s">
        <v>13</v>
      </c>
      <c r="F8" s="12"/>
      <c r="G8" s="12"/>
    </row>
    <row r="9" customFormat="false" ht="18" hidden="false" customHeight="true" outlineLevel="0" collapsed="false">
      <c r="A9" s="13" t="s">
        <v>14</v>
      </c>
      <c r="B9" s="14" t="n">
        <v>0.4</v>
      </c>
      <c r="C9" s="15" t="n">
        <f aca="false">'📋 Overview'!C18</f>
        <v>400000000</v>
      </c>
      <c r="D9" s="16" t="n">
        <f aca="false">'📋 Overview'!D18</f>
        <v>400000</v>
      </c>
      <c r="E9" s="17" t="s">
        <v>15</v>
      </c>
      <c r="F9" s="17"/>
      <c r="G9" s="17"/>
    </row>
    <row r="10" customFormat="false" ht="18" hidden="false" customHeight="true" outlineLevel="0" collapsed="false">
      <c r="A10" s="18" t="s">
        <v>16</v>
      </c>
      <c r="B10" s="19" t="n">
        <v>0.25</v>
      </c>
      <c r="C10" s="20" t="n">
        <f aca="false">'📋 Overview'!C19</f>
        <v>250000000</v>
      </c>
      <c r="D10" s="21" t="n">
        <f aca="false">'📋 Overview'!D19</f>
        <v>250000</v>
      </c>
      <c r="E10" s="22" t="s">
        <v>17</v>
      </c>
      <c r="F10" s="22"/>
      <c r="G10" s="22"/>
    </row>
    <row r="11" customFormat="false" ht="18" hidden="false" customHeight="true" outlineLevel="0" collapsed="false">
      <c r="A11" s="23" t="s">
        <v>18</v>
      </c>
      <c r="B11" s="24" t="n">
        <v>0.15</v>
      </c>
      <c r="C11" s="15" t="n">
        <f aca="false">'📋 Overview'!C20</f>
        <v>150000000</v>
      </c>
      <c r="D11" s="16" t="n">
        <f aca="false">'📋 Overview'!D20</f>
        <v>150000</v>
      </c>
      <c r="E11" s="17" t="s">
        <v>19</v>
      </c>
      <c r="F11" s="17"/>
      <c r="G11" s="17"/>
    </row>
    <row r="12" customFormat="false" ht="18" hidden="false" customHeight="true" outlineLevel="0" collapsed="false">
      <c r="A12" s="25" t="s">
        <v>20</v>
      </c>
      <c r="B12" s="26" t="n">
        <v>0.1</v>
      </c>
      <c r="C12" s="20" t="n">
        <f aca="false">'📋 Overview'!C21</f>
        <v>100000000</v>
      </c>
      <c r="D12" s="21" t="n">
        <f aca="false">'📋 Overview'!D21</f>
        <v>100000</v>
      </c>
      <c r="E12" s="22" t="s">
        <v>21</v>
      </c>
      <c r="F12" s="22"/>
      <c r="G12" s="22"/>
    </row>
    <row r="13" customFormat="false" ht="18" hidden="false" customHeight="true" outlineLevel="0" collapsed="false">
      <c r="A13" s="27" t="s">
        <v>22</v>
      </c>
      <c r="B13" s="28" t="n">
        <v>0.07</v>
      </c>
      <c r="C13" s="15" t="n">
        <f aca="false">'📋 Overview'!C22</f>
        <v>70000000</v>
      </c>
      <c r="D13" s="16" t="n">
        <f aca="false">'📋 Overview'!D22</f>
        <v>70000</v>
      </c>
      <c r="E13" s="17" t="s">
        <v>23</v>
      </c>
      <c r="F13" s="17"/>
      <c r="G13" s="17"/>
    </row>
    <row r="14" customFormat="false" ht="18" hidden="false" customHeight="true" outlineLevel="0" collapsed="false">
      <c r="A14" s="29" t="s">
        <v>24</v>
      </c>
      <c r="B14" s="30" t="n">
        <v>0.03</v>
      </c>
      <c r="C14" s="20" t="n">
        <f aca="false">'📋 Overview'!C23</f>
        <v>30000000</v>
      </c>
      <c r="D14" s="21" t="n">
        <f aca="false">'📋 Overview'!D23</f>
        <v>30000</v>
      </c>
      <c r="E14" s="22" t="s">
        <v>25</v>
      </c>
      <c r="F14" s="22"/>
      <c r="G14" s="22"/>
    </row>
    <row r="16" customFormat="false" ht="12" hidden="false" customHeight="true" outlineLevel="0" collapsed="false"/>
    <row r="17" customFormat="false" ht="21.75" hidden="false" customHeight="true" outlineLevel="0" collapsed="false">
      <c r="A17" s="11" t="s">
        <v>26</v>
      </c>
      <c r="B17" s="11"/>
      <c r="C17" s="11"/>
      <c r="D17" s="11"/>
      <c r="E17" s="11"/>
      <c r="F17" s="11"/>
      <c r="G17" s="11"/>
    </row>
    <row r="18" customFormat="false" ht="18" hidden="false" customHeight="true" outlineLevel="0" collapsed="false">
      <c r="A18" s="12" t="s">
        <v>27</v>
      </c>
      <c r="B18" s="12" t="s">
        <v>28</v>
      </c>
      <c r="C18" s="12" t="s">
        <v>29</v>
      </c>
      <c r="D18" s="12"/>
      <c r="E18" s="12"/>
      <c r="F18" s="12"/>
      <c r="G18" s="12"/>
    </row>
    <row r="19" customFormat="false" ht="18" hidden="false" customHeight="true" outlineLevel="0" collapsed="false">
      <c r="A19" s="31" t="s">
        <v>30</v>
      </c>
      <c r="B19" s="32" t="n">
        <v>0.4</v>
      </c>
      <c r="C19" s="17" t="s">
        <v>31</v>
      </c>
      <c r="D19" s="17"/>
      <c r="E19" s="17"/>
      <c r="F19" s="17"/>
      <c r="G19" s="17"/>
    </row>
    <row r="20" customFormat="false" ht="18" hidden="false" customHeight="true" outlineLevel="0" collapsed="false">
      <c r="A20" s="25" t="s">
        <v>32</v>
      </c>
      <c r="B20" s="33" t="n">
        <v>0.2</v>
      </c>
      <c r="C20" s="22" t="s">
        <v>33</v>
      </c>
      <c r="D20" s="22"/>
      <c r="E20" s="22"/>
      <c r="F20" s="22"/>
      <c r="G20" s="22"/>
    </row>
    <row r="21" customFormat="false" ht="18" hidden="false" customHeight="true" outlineLevel="0" collapsed="false">
      <c r="A21" s="23" t="s">
        <v>34</v>
      </c>
      <c r="B21" s="34" t="n">
        <v>0.25</v>
      </c>
      <c r="C21" s="17" t="s">
        <v>35</v>
      </c>
      <c r="D21" s="17"/>
      <c r="E21" s="17"/>
      <c r="F21" s="17"/>
      <c r="G21" s="17"/>
    </row>
    <row r="22" customFormat="false" ht="18" hidden="false" customHeight="true" outlineLevel="0" collapsed="false">
      <c r="A22" s="35" t="s">
        <v>36</v>
      </c>
      <c r="B22" s="36" t="n">
        <v>0.15</v>
      </c>
      <c r="C22" s="22" t="s">
        <v>37</v>
      </c>
      <c r="D22" s="22"/>
      <c r="E22" s="22"/>
      <c r="F22" s="22"/>
      <c r="G22" s="22"/>
    </row>
  </sheetData>
  <mergeCells count="16">
    <mergeCell ref="A1:G1"/>
    <mergeCell ref="A2:G2"/>
    <mergeCell ref="A7:G7"/>
    <mergeCell ref="E8:G8"/>
    <mergeCell ref="E9:G9"/>
    <mergeCell ref="E10:G10"/>
    <mergeCell ref="E11:G11"/>
    <mergeCell ref="E12:G12"/>
    <mergeCell ref="E13:G13"/>
    <mergeCell ref="E14:G14"/>
    <mergeCell ref="A17:G17"/>
    <mergeCell ref="C18:G18"/>
    <mergeCell ref="C19:G19"/>
    <mergeCell ref="C20:G20"/>
    <mergeCell ref="C21:G21"/>
    <mergeCell ref="C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5" min="2" style="1" width="18"/>
    <col collapsed="false" customWidth="true" hidden="false" outlineLevel="0" max="7" min="6" style="1" width="22"/>
  </cols>
  <sheetData>
    <row r="1" customFormat="false" ht="39.7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</row>
    <row r="2" customFormat="false" ht="21.75" hidden="false" customHeight="true" outlineLevel="0" collapsed="false">
      <c r="A2" s="3" t="s">
        <v>39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21.75" hidden="false" customHeight="true" outlineLevel="0" collapsed="false">
      <c r="A4" s="11" t="s">
        <v>40</v>
      </c>
      <c r="B4" s="11"/>
      <c r="C4" s="11"/>
      <c r="D4" s="11"/>
      <c r="E4" s="11"/>
      <c r="F4" s="11"/>
      <c r="G4" s="11"/>
    </row>
    <row r="5" customFormat="false" ht="18" hidden="false" customHeight="true" outlineLevel="0" collapsed="false">
      <c r="A5" s="37" t="s">
        <v>41</v>
      </c>
      <c r="B5" s="38" t="n">
        <v>1000000000</v>
      </c>
      <c r="C5" s="22" t="s">
        <v>42</v>
      </c>
      <c r="D5" s="22"/>
      <c r="E5" s="22"/>
      <c r="F5" s="22"/>
      <c r="G5" s="22"/>
    </row>
    <row r="6" customFormat="false" ht="18" hidden="false" customHeight="true" outlineLevel="0" collapsed="false">
      <c r="A6" s="39" t="s">
        <v>43</v>
      </c>
      <c r="B6" s="40" t="n">
        <v>0.001</v>
      </c>
      <c r="C6" s="17" t="s">
        <v>44</v>
      </c>
      <c r="D6" s="17"/>
      <c r="E6" s="17"/>
      <c r="F6" s="17"/>
      <c r="G6" s="17"/>
    </row>
    <row r="7" customFormat="false" ht="18" hidden="false" customHeight="true" outlineLevel="0" collapsed="false">
      <c r="A7" s="37" t="s">
        <v>45</v>
      </c>
      <c r="B7" s="41" t="n">
        <f aca="false">B5*B6</f>
        <v>1000000</v>
      </c>
      <c r="C7" s="42" t="n">
        <f aca="false">B6*B7</f>
        <v>1000</v>
      </c>
      <c r="D7" s="42"/>
      <c r="E7" s="42"/>
      <c r="F7" s="42"/>
      <c r="G7" s="42"/>
    </row>
    <row r="8" customFormat="false" ht="18" hidden="false" customHeight="true" outlineLevel="0" collapsed="false">
      <c r="A8" s="39" t="s">
        <v>46</v>
      </c>
      <c r="B8" s="43" t="n">
        <v>1000000</v>
      </c>
      <c r="C8" s="17" t="s">
        <v>47</v>
      </c>
      <c r="D8" s="17"/>
      <c r="E8" s="17"/>
      <c r="F8" s="17"/>
      <c r="G8" s="17"/>
    </row>
    <row r="9" customFormat="false" ht="18" hidden="false" customHeight="true" outlineLevel="0" collapsed="false">
      <c r="A9" s="37" t="s">
        <v>48</v>
      </c>
      <c r="B9" s="43" t="n">
        <v>50000000</v>
      </c>
      <c r="C9" s="22" t="s">
        <v>49</v>
      </c>
      <c r="D9" s="22"/>
      <c r="E9" s="22"/>
      <c r="F9" s="22"/>
      <c r="G9" s="22"/>
    </row>
    <row r="10" customFormat="false" ht="18" hidden="false" customHeight="true" outlineLevel="0" collapsed="false">
      <c r="A10" s="39" t="s">
        <v>50</v>
      </c>
      <c r="B10" s="43" t="n">
        <v>500000</v>
      </c>
      <c r="C10" s="17" t="s">
        <v>51</v>
      </c>
      <c r="D10" s="17"/>
      <c r="E10" s="17"/>
      <c r="F10" s="17"/>
      <c r="G10" s="17"/>
    </row>
    <row r="11" customFormat="false" ht="18" hidden="false" customHeight="true" outlineLevel="0" collapsed="false">
      <c r="A11" s="37" t="s">
        <v>52</v>
      </c>
      <c r="B11" s="44" t="n">
        <v>0.85</v>
      </c>
      <c r="C11" s="22" t="s">
        <v>53</v>
      </c>
      <c r="D11" s="22"/>
      <c r="E11" s="22"/>
      <c r="F11" s="22"/>
      <c r="G11" s="22"/>
    </row>
    <row r="12" customFormat="false" ht="18" hidden="false" customHeight="true" outlineLevel="0" collapsed="false">
      <c r="A12" s="39" t="s">
        <v>54</v>
      </c>
      <c r="B12" s="44" t="n">
        <v>0.2</v>
      </c>
      <c r="C12" s="17" t="s">
        <v>55</v>
      </c>
      <c r="D12" s="17"/>
      <c r="E12" s="17"/>
      <c r="F12" s="17"/>
      <c r="G12" s="17"/>
    </row>
    <row r="13" customFormat="false" ht="18" hidden="false" customHeight="true" outlineLevel="0" collapsed="false">
      <c r="A13" s="37" t="s">
        <v>56</v>
      </c>
      <c r="B13" s="44" t="n">
        <v>0.4</v>
      </c>
      <c r="C13" s="22" t="s">
        <v>57</v>
      </c>
      <c r="D13" s="22"/>
      <c r="E13" s="22"/>
      <c r="F13" s="22"/>
      <c r="G13" s="22"/>
    </row>
    <row r="14" customFormat="false" ht="18" hidden="false" customHeight="true" outlineLevel="0" collapsed="false">
      <c r="A14" s="39" t="s">
        <v>58</v>
      </c>
      <c r="B14" s="45" t="s">
        <v>59</v>
      </c>
      <c r="C14" s="17" t="s">
        <v>60</v>
      </c>
      <c r="D14" s="17"/>
      <c r="E14" s="17"/>
      <c r="F14" s="17"/>
      <c r="G14" s="17"/>
    </row>
    <row r="15" customFormat="false" ht="7.5" hidden="false" customHeight="true" outlineLevel="0" collapsed="false"/>
    <row r="16" customFormat="false" ht="21.75" hidden="false" customHeight="true" outlineLevel="0" collapsed="false">
      <c r="A16" s="11" t="s">
        <v>61</v>
      </c>
      <c r="B16" s="11"/>
      <c r="C16" s="11"/>
      <c r="D16" s="11"/>
      <c r="E16" s="11"/>
      <c r="F16" s="11"/>
      <c r="G16" s="11"/>
    </row>
    <row r="17" customFormat="false" ht="18" hidden="false" customHeight="true" outlineLevel="0" collapsed="false">
      <c r="A17" s="46" t="s">
        <v>9</v>
      </c>
      <c r="B17" s="46" t="s">
        <v>10</v>
      </c>
      <c r="C17" s="46" t="s">
        <v>11</v>
      </c>
      <c r="D17" s="46" t="s">
        <v>62</v>
      </c>
      <c r="E17" s="46" t="s">
        <v>13</v>
      </c>
      <c r="F17" s="46" t="s">
        <v>63</v>
      </c>
      <c r="G17" s="46" t="s">
        <v>64</v>
      </c>
    </row>
    <row r="18" customFormat="false" ht="18" hidden="false" customHeight="true" outlineLevel="0" collapsed="false">
      <c r="A18" s="37" t="s">
        <v>14</v>
      </c>
      <c r="B18" s="44" t="n">
        <v>0.4</v>
      </c>
      <c r="C18" s="47" t="n">
        <f aca="false">B18*$B$5</f>
        <v>400000000</v>
      </c>
      <c r="D18" s="41" t="n">
        <f aca="false">C18*$B$6</f>
        <v>400000</v>
      </c>
      <c r="E18" s="48" t="s">
        <v>65</v>
      </c>
      <c r="F18" s="49" t="s">
        <v>66</v>
      </c>
      <c r="G18" s="50" t="s">
        <v>67</v>
      </c>
    </row>
    <row r="19" customFormat="false" ht="18" hidden="false" customHeight="true" outlineLevel="0" collapsed="false">
      <c r="A19" s="51" t="s">
        <v>68</v>
      </c>
      <c r="B19" s="44" t="n">
        <v>0.25</v>
      </c>
      <c r="C19" s="47" t="n">
        <f aca="false">B19*$B$5</f>
        <v>250000000</v>
      </c>
      <c r="D19" s="41" t="n">
        <f aca="false">C19*$B$6</f>
        <v>250000</v>
      </c>
      <c r="E19" s="52" t="s">
        <v>69</v>
      </c>
      <c r="F19" s="53" t="s">
        <v>70</v>
      </c>
      <c r="G19" s="54" t="s">
        <v>67</v>
      </c>
    </row>
    <row r="20" customFormat="false" ht="18" hidden="false" customHeight="true" outlineLevel="0" collapsed="false">
      <c r="A20" s="37" t="s">
        <v>34</v>
      </c>
      <c r="B20" s="44" t="n">
        <v>0.15</v>
      </c>
      <c r="C20" s="47" t="n">
        <f aca="false">B20*$B$5</f>
        <v>150000000</v>
      </c>
      <c r="D20" s="41" t="n">
        <f aca="false">C20*$B$6</f>
        <v>150000</v>
      </c>
      <c r="E20" s="48" t="s">
        <v>71</v>
      </c>
      <c r="F20" s="49" t="s">
        <v>72</v>
      </c>
      <c r="G20" s="55" t="s">
        <v>67</v>
      </c>
    </row>
    <row r="21" customFormat="false" ht="18" hidden="false" customHeight="true" outlineLevel="0" collapsed="false">
      <c r="A21" s="51" t="s">
        <v>73</v>
      </c>
      <c r="B21" s="44" t="n">
        <v>0.1</v>
      </c>
      <c r="C21" s="47" t="n">
        <f aca="false">B21*$B$5</f>
        <v>100000000</v>
      </c>
      <c r="D21" s="41" t="n">
        <f aca="false">C21*$B$6</f>
        <v>100000</v>
      </c>
      <c r="E21" s="52" t="s">
        <v>74</v>
      </c>
      <c r="F21" s="53" t="s">
        <v>75</v>
      </c>
      <c r="G21" s="56" t="s">
        <v>67</v>
      </c>
    </row>
    <row r="22" customFormat="false" ht="18" hidden="false" customHeight="true" outlineLevel="0" collapsed="false">
      <c r="A22" s="37" t="s">
        <v>76</v>
      </c>
      <c r="B22" s="44" t="n">
        <v>0.07</v>
      </c>
      <c r="C22" s="47" t="n">
        <f aca="false">B22*$B$5</f>
        <v>70000000</v>
      </c>
      <c r="D22" s="41" t="n">
        <f aca="false">C22*$B$6</f>
        <v>70000</v>
      </c>
      <c r="E22" s="48" t="s">
        <v>23</v>
      </c>
      <c r="F22" s="49" t="s">
        <v>77</v>
      </c>
      <c r="G22" s="57" t="s">
        <v>67</v>
      </c>
    </row>
    <row r="23" customFormat="false" ht="18" hidden="false" customHeight="true" outlineLevel="0" collapsed="false">
      <c r="A23" s="51" t="s">
        <v>78</v>
      </c>
      <c r="B23" s="44" t="n">
        <v>0.03</v>
      </c>
      <c r="C23" s="47" t="n">
        <f aca="false">B23*$B$5</f>
        <v>30000000</v>
      </c>
      <c r="D23" s="41" t="n">
        <f aca="false">C23*$B$6</f>
        <v>30000</v>
      </c>
      <c r="E23" s="52" t="s">
        <v>79</v>
      </c>
      <c r="F23" s="53" t="s">
        <v>80</v>
      </c>
      <c r="G23" s="58" t="s">
        <v>67</v>
      </c>
    </row>
    <row r="24" customFormat="false" ht="18" hidden="false" customHeight="true" outlineLevel="0" collapsed="false">
      <c r="A24" s="59" t="s">
        <v>81</v>
      </c>
      <c r="B24" s="60" t="n">
        <f aca="false">SUM(B18:B23)</f>
        <v>1</v>
      </c>
      <c r="C24" s="61" t="n">
        <f aca="false">SUM(C18:C23)</f>
        <v>1000000000</v>
      </c>
      <c r="D24" s="62" t="n">
        <f aca="false">SUM(D18:D23)</f>
        <v>1000000</v>
      </c>
      <c r="E24" s="63"/>
      <c r="F24" s="63"/>
      <c r="G24" s="63"/>
    </row>
    <row r="25" customFormat="false" ht="7.5" hidden="false" customHeight="true" outlineLevel="0" collapsed="false"/>
  </sheetData>
  <mergeCells count="14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6" min="2" style="1" width="16"/>
    <col collapsed="false" customWidth="true" hidden="false" outlineLevel="0" max="7" min="7" style="1" width="22"/>
  </cols>
  <sheetData>
    <row r="1" customFormat="false" ht="36" hidden="false" customHeight="true" outlineLevel="0" collapsed="false">
      <c r="A1" s="64" t="s">
        <v>82</v>
      </c>
      <c r="B1" s="64"/>
      <c r="C1" s="64"/>
      <c r="D1" s="64"/>
      <c r="E1" s="64"/>
      <c r="F1" s="64"/>
      <c r="G1" s="64"/>
    </row>
    <row r="2" customFormat="false" ht="18" hidden="false" customHeight="true" outlineLevel="0" collapsed="false">
      <c r="A2" s="3" t="s">
        <v>83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21.75" hidden="false" customHeight="true" outlineLevel="0" collapsed="false">
      <c r="A4" s="11" t="s">
        <v>84</v>
      </c>
      <c r="B4" s="11"/>
      <c r="C4" s="11"/>
      <c r="D4" s="11"/>
      <c r="E4" s="11"/>
      <c r="F4" s="11"/>
      <c r="G4" s="11"/>
    </row>
    <row r="5" customFormat="false" ht="18" hidden="false" customHeight="true" outlineLevel="0" collapsed="false">
      <c r="A5" s="59" t="s">
        <v>85</v>
      </c>
      <c r="B5" s="65" t="s">
        <v>86</v>
      </c>
      <c r="C5" s="65" t="s">
        <v>87</v>
      </c>
      <c r="D5" s="65" t="s">
        <v>88</v>
      </c>
      <c r="E5" s="65" t="s">
        <v>89</v>
      </c>
      <c r="F5" s="65" t="s">
        <v>90</v>
      </c>
    </row>
    <row r="6" customFormat="false" ht="18" hidden="false" customHeight="true" outlineLevel="0" collapsed="false">
      <c r="A6" s="37" t="s">
        <v>91</v>
      </c>
      <c r="B6" s="66" t="n">
        <f aca="false">'📋 Overview'!B11</f>
        <v>0.85</v>
      </c>
      <c r="C6" s="67" t="n">
        <f aca="false">B6*(1+'📋 Overview'!B12)</f>
        <v>1.02</v>
      </c>
      <c r="D6" s="67" t="n">
        <f aca="false">C6*(1+'📋 Overview'!B12)</f>
        <v>1.224</v>
      </c>
      <c r="E6" s="67" t="n">
        <f aca="false">D6*(1+'📋 Overview'!B12)</f>
        <v>1.4688</v>
      </c>
      <c r="F6" s="67" t="n">
        <f aca="false">E6*(1+'📋 Overview'!B12)</f>
        <v>1.76256</v>
      </c>
    </row>
    <row r="7" customFormat="false" ht="18" hidden="false" customHeight="true" outlineLevel="0" collapsed="false">
      <c r="A7" s="39" t="s">
        <v>92</v>
      </c>
      <c r="B7" s="21" t="n">
        <f aca="false">'📋 Overview'!B10</f>
        <v>500000</v>
      </c>
      <c r="C7" s="68" t="n">
        <f aca="false">B7*(1+'📋 Overview'!$B$11)</f>
        <v>925000</v>
      </c>
      <c r="D7" s="68" t="n">
        <f aca="false">C7*(1+'📋 Overview'!$B$11)</f>
        <v>1711250</v>
      </c>
      <c r="E7" s="68" t="n">
        <f aca="false">D7*(1+'📋 Overview'!$B$11)</f>
        <v>3165812.5</v>
      </c>
      <c r="F7" s="68" t="n">
        <f aca="false">E7*(1+'📋 Overview'!$B$11)</f>
        <v>5856753.125</v>
      </c>
    </row>
    <row r="8" customFormat="false" ht="18" hidden="false" customHeight="true" outlineLevel="0" collapsed="false">
      <c r="A8" s="69" t="s">
        <v>93</v>
      </c>
      <c r="B8" s="16" t="n">
        <f aca="false">B7*'📋 Overview'!$B$13</f>
        <v>200000</v>
      </c>
      <c r="C8" s="70" t="n">
        <f aca="false">C7*'📋 Overview'!$B$13</f>
        <v>370000</v>
      </c>
      <c r="D8" s="70" t="n">
        <f aca="false">D7*'📋 Overview'!$B$13</f>
        <v>684500</v>
      </c>
      <c r="E8" s="70" t="n">
        <f aca="false">E7*'📋 Overview'!$B$13</f>
        <v>1266325</v>
      </c>
      <c r="F8" s="70" t="n">
        <f aca="false">F7*'📋 Overview'!$B$13</f>
        <v>2342701.25</v>
      </c>
    </row>
    <row r="9" customFormat="false" ht="18" hidden="false" customHeight="true" outlineLevel="0" collapsed="false">
      <c r="A9" s="39" t="s">
        <v>94</v>
      </c>
      <c r="B9" s="68" t="n">
        <f aca="false">B7*'📋 Overview'!$B$12</f>
        <v>100000</v>
      </c>
      <c r="C9" s="68" t="n">
        <f aca="false">C7*'📋 Overview'!$B$12</f>
        <v>185000</v>
      </c>
      <c r="D9" s="68" t="n">
        <f aca="false">D7*'📋 Overview'!$B$12</f>
        <v>342250</v>
      </c>
      <c r="E9" s="68" t="n">
        <f aca="false">E7*'📋 Overview'!$B$12</f>
        <v>633162.5</v>
      </c>
      <c r="F9" s="68" t="n">
        <f aca="false">F7*'📋 Overview'!$B$12</f>
        <v>1171350.625</v>
      </c>
    </row>
    <row r="10" customFormat="false" ht="18" hidden="false" customHeight="true" outlineLevel="0" collapsed="false">
      <c r="A10" s="69" t="s">
        <v>95</v>
      </c>
      <c r="B10" s="70" t="n">
        <f aca="false">B7*0.25</f>
        <v>125000</v>
      </c>
      <c r="C10" s="70" t="n">
        <f aca="false">C7*0.25</f>
        <v>231250</v>
      </c>
      <c r="D10" s="70" t="n">
        <f aca="false">D7*0.25</f>
        <v>427812.5</v>
      </c>
      <c r="E10" s="70" t="n">
        <f aca="false">E7*0.25</f>
        <v>791453.125</v>
      </c>
      <c r="F10" s="70" t="n">
        <f aca="false">F7*0.25</f>
        <v>1464188.28125</v>
      </c>
    </row>
    <row r="11" customFormat="false" ht="18" hidden="false" customHeight="true" outlineLevel="0" collapsed="false">
      <c r="A11" s="71" t="s">
        <v>96</v>
      </c>
      <c r="B11" s="72" t="n">
        <f aca="false">B7*0.15</f>
        <v>75000</v>
      </c>
      <c r="C11" s="72" t="n">
        <f aca="false">C7*0.15</f>
        <v>138750</v>
      </c>
      <c r="D11" s="72" t="n">
        <f aca="false">D7*0.15</f>
        <v>256687.5</v>
      </c>
      <c r="E11" s="72" t="n">
        <f aca="false">E7*0.15</f>
        <v>474871.875</v>
      </c>
      <c r="F11" s="72" t="n">
        <f aca="false">F7*0.15</f>
        <v>878512.96875</v>
      </c>
    </row>
    <row r="12" customFormat="false" ht="7.5" hidden="false" customHeight="true" outlineLevel="0" collapsed="false">
      <c r="B12" s="1" t="n">
        <f aca="false">IF(B7=0,0,(B8+B9+B10+B11)/B7)</f>
        <v>1</v>
      </c>
      <c r="C12" s="1" t="n">
        <f aca="false">IF(C7=0,0,(C8+C9+C10+C11)/C7)</f>
        <v>1</v>
      </c>
      <c r="D12" s="1" t="n">
        <f aca="false">IF(D7=0,0,(D8+D9+D10+D11)/D7)</f>
        <v>1</v>
      </c>
      <c r="E12" s="1" t="n">
        <f aca="false">IF(E7=0,0,(E8+E9+E10+E11)/E7)</f>
        <v>1</v>
      </c>
      <c r="F12" s="1" t="n">
        <f aca="false">IF(F7=0,0,(F8+F9+F10+F11)/F7)</f>
        <v>1</v>
      </c>
    </row>
    <row r="14" customFormat="false" ht="21.75" hidden="false" customHeight="true" outlineLevel="0" collapsed="false">
      <c r="A14" s="11" t="s">
        <v>97</v>
      </c>
      <c r="B14" s="11"/>
      <c r="C14" s="11"/>
      <c r="D14" s="11"/>
      <c r="E14" s="11"/>
      <c r="F14" s="11"/>
      <c r="G14" s="11"/>
    </row>
    <row r="15" customFormat="false" ht="18" hidden="false" customHeight="true" outlineLevel="0" collapsed="false">
      <c r="A15" s="65" t="s">
        <v>98</v>
      </c>
      <c r="B15" s="65" t="s">
        <v>99</v>
      </c>
      <c r="C15" s="65" t="s">
        <v>100</v>
      </c>
      <c r="D15" s="65" t="s">
        <v>101</v>
      </c>
      <c r="E15" s="65" t="s">
        <v>102</v>
      </c>
      <c r="F15" s="65" t="s">
        <v>103</v>
      </c>
      <c r="G15" s="65" t="s">
        <v>104</v>
      </c>
    </row>
    <row r="16" customFormat="false" ht="19.5" hidden="false" customHeight="true" outlineLevel="0" collapsed="false">
      <c r="A16" s="51" t="s">
        <v>105</v>
      </c>
      <c r="B16" s="38" t="n">
        <v>10000</v>
      </c>
      <c r="C16" s="68" t="n">
        <f aca="false">B16*'📋 Overview'!$B$6</f>
        <v>10</v>
      </c>
      <c r="D16" s="44" t="n">
        <v>0.08</v>
      </c>
      <c r="E16" s="44" t="n">
        <v>0.12</v>
      </c>
      <c r="F16" s="68" t="n">
        <f aca="false">B16*D16*'📋 Overview'!$B$6</f>
        <v>0.8</v>
      </c>
      <c r="G16" s="68" t="n">
        <f aca="false">B16*E16*'📋 Overview'!$B$6</f>
        <v>1.2</v>
      </c>
    </row>
    <row r="17" customFormat="false" ht="19.5" hidden="false" customHeight="true" outlineLevel="0" collapsed="false">
      <c r="A17" s="37" t="s">
        <v>106</v>
      </c>
      <c r="B17" s="38" t="n">
        <v>50000</v>
      </c>
      <c r="C17" s="70" t="n">
        <f aca="false">B17*'📋 Overview'!$B$6</f>
        <v>50</v>
      </c>
      <c r="D17" s="44" t="n">
        <v>0.14</v>
      </c>
      <c r="E17" s="44" t="n">
        <v>0.2</v>
      </c>
      <c r="F17" s="70" t="n">
        <f aca="false">B17*D17*'📋 Overview'!$B$6</f>
        <v>7</v>
      </c>
      <c r="G17" s="70" t="n">
        <f aca="false">B17*E17*'📋 Overview'!$B$6</f>
        <v>10</v>
      </c>
    </row>
    <row r="18" customFormat="false" ht="19.5" hidden="false" customHeight="true" outlineLevel="0" collapsed="false">
      <c r="A18" s="73" t="s">
        <v>107</v>
      </c>
      <c r="B18" s="38" t="n">
        <v>250000</v>
      </c>
      <c r="C18" s="74" t="n">
        <f aca="false">B18*'📋 Overview'!$B$6</f>
        <v>250</v>
      </c>
      <c r="D18" s="44" t="n">
        <v>0.22</v>
      </c>
      <c r="E18" s="44" t="n">
        <v>0.3</v>
      </c>
      <c r="F18" s="74" t="n">
        <f aca="false">B18*D18*'📋 Overview'!$B$6</f>
        <v>55</v>
      </c>
      <c r="G18" s="74" t="n">
        <f aca="false">B18*E18*'📋 Overview'!$B$6</f>
        <v>75</v>
      </c>
    </row>
    <row r="19" customFormat="false" ht="7.5" hidden="false" customHeight="true" outlineLevel="0" collapsed="false"/>
    <row r="21" customFormat="false" ht="21.75" hidden="false" customHeight="true" outlineLevel="0" collapsed="false">
      <c r="A21" s="11" t="s">
        <v>108</v>
      </c>
      <c r="B21" s="11"/>
      <c r="C21" s="11"/>
      <c r="D21" s="11"/>
      <c r="E21" s="11"/>
      <c r="F21" s="11"/>
      <c r="G21" s="11"/>
    </row>
    <row r="22" customFormat="false" ht="18" hidden="false" customHeight="true" outlineLevel="0" collapsed="false">
      <c r="A22" s="37" t="s">
        <v>109</v>
      </c>
      <c r="B22" s="43" t="n">
        <v>1000</v>
      </c>
      <c r="C22" s="75"/>
      <c r="D22" s="75"/>
      <c r="E22" s="75"/>
      <c r="F22" s="75"/>
      <c r="G22" s="75"/>
    </row>
    <row r="23" customFormat="false" ht="18" hidden="false" customHeight="true" outlineLevel="0" collapsed="false">
      <c r="A23" s="39" t="s">
        <v>110</v>
      </c>
      <c r="B23" s="76" t="n">
        <f aca="false">B22/'📋 Overview'!$B$6</f>
        <v>1000000</v>
      </c>
      <c r="C23" s="77"/>
      <c r="D23" s="77"/>
      <c r="E23" s="77"/>
      <c r="F23" s="77"/>
      <c r="G23" s="77"/>
    </row>
    <row r="24" customFormat="false" ht="18" hidden="false" customHeight="true" outlineLevel="0" collapsed="false">
      <c r="A24" s="69" t="s">
        <v>111</v>
      </c>
      <c r="B24" s="78" t="s">
        <v>106</v>
      </c>
      <c r="C24" s="75"/>
      <c r="D24" s="75"/>
      <c r="E24" s="75"/>
      <c r="F24" s="75"/>
      <c r="G24" s="75"/>
    </row>
    <row r="25" customFormat="false" ht="18" hidden="false" customHeight="true" outlineLevel="0" collapsed="false">
      <c r="A25" s="39" t="s">
        <v>112</v>
      </c>
      <c r="B25" s="44" t="n">
        <v>0.17</v>
      </c>
      <c r="C25" s="77"/>
      <c r="D25" s="77"/>
      <c r="E25" s="77"/>
      <c r="F25" s="77"/>
      <c r="G25" s="77"/>
    </row>
    <row r="26" customFormat="false" ht="18" hidden="false" customHeight="true" outlineLevel="0" collapsed="false">
      <c r="A26" s="69" t="s">
        <v>113</v>
      </c>
      <c r="B26" s="79" t="n">
        <f aca="false">B23*B25</f>
        <v>170000</v>
      </c>
      <c r="C26" s="75"/>
      <c r="D26" s="75"/>
      <c r="E26" s="75"/>
      <c r="F26" s="75"/>
      <c r="G26" s="75"/>
    </row>
    <row r="27" customFormat="false" ht="18" hidden="false" customHeight="true" outlineLevel="0" collapsed="false">
      <c r="A27" s="39" t="s">
        <v>114</v>
      </c>
      <c r="B27" s="68" t="n">
        <f aca="false">B26*'📋 Overview'!$B$6</f>
        <v>170</v>
      </c>
      <c r="C27" s="77"/>
      <c r="D27" s="77"/>
      <c r="E27" s="77"/>
      <c r="F27" s="77"/>
      <c r="G27" s="77"/>
    </row>
    <row r="28" customFormat="false" ht="18" hidden="false" customHeight="true" outlineLevel="0" collapsed="false">
      <c r="A28" s="69" t="s">
        <v>115</v>
      </c>
      <c r="B28" s="80" t="n">
        <f aca="false">IF(B27=0,"-",ROUND(12/(B27/B22),1))</f>
        <v>70.6</v>
      </c>
      <c r="C28" s="75"/>
      <c r="D28" s="75"/>
      <c r="E28" s="75"/>
      <c r="F28" s="75"/>
      <c r="G28" s="75"/>
    </row>
    <row r="29" customFormat="false" ht="18" hidden="false" customHeight="true" outlineLevel="0" collapsed="false">
      <c r="A29" s="39" t="s">
        <v>116</v>
      </c>
      <c r="B29" s="81" t="n">
        <f aca="false">3*'📋 Overview'!$B$6</f>
        <v>0.003</v>
      </c>
      <c r="C29" s="77"/>
      <c r="D29" s="77"/>
      <c r="E29" s="77"/>
      <c r="F29" s="77"/>
      <c r="G29" s="77"/>
    </row>
    <row r="30" customFormat="false" ht="18" hidden="false" customHeight="true" outlineLevel="0" collapsed="false">
      <c r="A30" s="69" t="s">
        <v>117</v>
      </c>
      <c r="B30" s="82" t="n">
        <f aca="false">10*'📋 Overview'!$B$6</f>
        <v>0.01</v>
      </c>
      <c r="C30" s="75"/>
      <c r="D30" s="75"/>
      <c r="E30" s="75"/>
      <c r="F30" s="75"/>
      <c r="G30" s="75"/>
    </row>
  </sheetData>
  <mergeCells count="5">
    <mergeCell ref="A1:G1"/>
    <mergeCell ref="A2:G2"/>
    <mergeCell ref="A4:G4"/>
    <mergeCell ref="A14:G14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8" min="2" style="1" width="7"/>
  </cols>
  <sheetData>
    <row r="1" customFormat="false" ht="36" hidden="false" customHeight="true" outlineLevel="0" collapsed="false">
      <c r="A1" s="64" t="s">
        <v>118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</row>
    <row r="2" customFormat="false" ht="18" hidden="false" customHeight="true" outlineLevel="0" collapsed="false">
      <c r="A2" s="3" t="s">
        <v>119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customFormat="false" ht="7.5" hidden="false" customHeight="true" outlineLevel="0" collapsed="false"/>
    <row r="4" customFormat="false" ht="19.5" hidden="false" customHeight="true" outlineLevel="0" collapsed="false">
      <c r="A4" s="12" t="s">
        <v>120</v>
      </c>
      <c r="B4" s="83" t="s">
        <v>121</v>
      </c>
      <c r="C4" s="84" t="s">
        <v>122</v>
      </c>
      <c r="D4" s="84" t="s">
        <v>123</v>
      </c>
      <c r="E4" s="84" t="s">
        <v>124</v>
      </c>
      <c r="F4" s="84" t="s">
        <v>125</v>
      </c>
      <c r="G4" s="84" t="s">
        <v>126</v>
      </c>
      <c r="H4" s="84" t="s">
        <v>127</v>
      </c>
      <c r="I4" s="84" t="s">
        <v>128</v>
      </c>
      <c r="J4" s="84" t="s">
        <v>129</v>
      </c>
      <c r="K4" s="84" t="s">
        <v>130</v>
      </c>
      <c r="L4" s="84" t="s">
        <v>131</v>
      </c>
      <c r="M4" s="84" t="s">
        <v>132</v>
      </c>
      <c r="N4" s="84" t="s">
        <v>133</v>
      </c>
      <c r="O4" s="84" t="s">
        <v>134</v>
      </c>
      <c r="P4" s="84" t="s">
        <v>135</v>
      </c>
      <c r="Q4" s="84" t="s">
        <v>136</v>
      </c>
      <c r="R4" s="84" t="s">
        <v>137</v>
      </c>
      <c r="S4" s="84" t="s">
        <v>138</v>
      </c>
      <c r="T4" s="84" t="s">
        <v>139</v>
      </c>
      <c r="U4" s="84" t="s">
        <v>140</v>
      </c>
      <c r="V4" s="84" t="s">
        <v>141</v>
      </c>
      <c r="W4" s="84" t="s">
        <v>142</v>
      </c>
      <c r="X4" s="84" t="s">
        <v>143</v>
      </c>
      <c r="Y4" s="84" t="s">
        <v>144</v>
      </c>
      <c r="Z4" s="84" t="s">
        <v>145</v>
      </c>
      <c r="AA4" s="84" t="s">
        <v>146</v>
      </c>
      <c r="AB4" s="84" t="s">
        <v>147</v>
      </c>
      <c r="AC4" s="84" t="s">
        <v>148</v>
      </c>
      <c r="AD4" s="84" t="s">
        <v>149</v>
      </c>
      <c r="AE4" s="84" t="s">
        <v>150</v>
      </c>
      <c r="AF4" s="84" t="s">
        <v>151</v>
      </c>
      <c r="AG4" s="84" t="s">
        <v>152</v>
      </c>
      <c r="AH4" s="84" t="s">
        <v>153</v>
      </c>
      <c r="AI4" s="84" t="s">
        <v>154</v>
      </c>
      <c r="AJ4" s="84" t="s">
        <v>155</v>
      </c>
      <c r="AK4" s="84" t="s">
        <v>156</v>
      </c>
      <c r="AL4" s="84" t="s">
        <v>157</v>
      </c>
    </row>
    <row r="5" customFormat="false" ht="18" hidden="false" customHeight="true" outlineLevel="0" collapsed="false">
      <c r="A5" s="85" t="s">
        <v>158</v>
      </c>
      <c r="B5" s="86" t="n">
        <v>400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</row>
    <row r="6" customFormat="false" ht="18" hidden="false" customHeight="true" outlineLevel="0" collapsed="false">
      <c r="A6" s="88" t="s">
        <v>159</v>
      </c>
      <c r="B6" s="89" t="n">
        <v>6.94</v>
      </c>
      <c r="C6" s="89" t="n">
        <v>6.94</v>
      </c>
      <c r="D6" s="89" t="n">
        <v>6.94</v>
      </c>
      <c r="E6" s="89" t="n">
        <v>6.94</v>
      </c>
      <c r="F6" s="89" t="n">
        <v>6.94</v>
      </c>
      <c r="G6" s="89" t="n">
        <v>6.94</v>
      </c>
      <c r="H6" s="89" t="n">
        <v>6.94</v>
      </c>
      <c r="I6" s="89" t="n">
        <v>6.94</v>
      </c>
      <c r="J6" s="89" t="n">
        <v>6.94</v>
      </c>
      <c r="K6" s="89" t="n">
        <v>6.94</v>
      </c>
      <c r="L6" s="89" t="n">
        <v>6.94</v>
      </c>
      <c r="M6" s="89" t="n">
        <v>6.94</v>
      </c>
      <c r="N6" s="89" t="n">
        <v>6.94</v>
      </c>
      <c r="O6" s="89" t="n">
        <v>6.94</v>
      </c>
      <c r="P6" s="89" t="n">
        <v>6.94</v>
      </c>
      <c r="Q6" s="89" t="n">
        <v>6.94</v>
      </c>
      <c r="R6" s="89" t="n">
        <v>6.94</v>
      </c>
      <c r="S6" s="89" t="n">
        <v>6.94</v>
      </c>
      <c r="T6" s="89" t="n">
        <v>6.94</v>
      </c>
      <c r="U6" s="89" t="n">
        <v>6.94</v>
      </c>
      <c r="V6" s="89" t="n">
        <v>6.94</v>
      </c>
      <c r="W6" s="89" t="n">
        <v>6.94</v>
      </c>
      <c r="X6" s="89" t="n">
        <v>6.94</v>
      </c>
      <c r="Y6" s="89" t="n">
        <v>6.94</v>
      </c>
      <c r="Z6" s="89" t="n">
        <v>6.94</v>
      </c>
      <c r="AA6" s="89" t="n">
        <v>6.94</v>
      </c>
      <c r="AB6" s="89" t="n">
        <v>6.94</v>
      </c>
      <c r="AC6" s="89" t="n">
        <v>6.94</v>
      </c>
      <c r="AD6" s="89" t="n">
        <v>6.94</v>
      </c>
      <c r="AE6" s="89" t="n">
        <v>6.94</v>
      </c>
      <c r="AF6" s="89" t="n">
        <v>6.94</v>
      </c>
      <c r="AG6" s="89" t="n">
        <v>6.94</v>
      </c>
      <c r="AH6" s="89" t="n">
        <v>6.94</v>
      </c>
      <c r="AI6" s="89" t="n">
        <v>6.94</v>
      </c>
      <c r="AJ6" s="89" t="n">
        <v>6.94</v>
      </c>
      <c r="AK6" s="89" t="n">
        <v>6.94</v>
      </c>
      <c r="AL6" s="87"/>
    </row>
    <row r="7" customFormat="false" ht="18" hidden="false" customHeight="true" outlineLevel="0" collapsed="false">
      <c r="A7" s="90" t="s">
        <v>160</v>
      </c>
      <c r="B7" s="87"/>
      <c r="C7" s="87"/>
      <c r="D7" s="87"/>
      <c r="E7" s="87"/>
      <c r="F7" s="87"/>
      <c r="G7" s="91" t="n">
        <v>5</v>
      </c>
      <c r="H7" s="91" t="n">
        <v>5</v>
      </c>
      <c r="I7" s="91" t="n">
        <v>5</v>
      </c>
      <c r="J7" s="91" t="n">
        <v>5</v>
      </c>
      <c r="K7" s="91" t="n">
        <v>5</v>
      </c>
      <c r="L7" s="91" t="n">
        <v>5</v>
      </c>
      <c r="M7" s="91" t="n">
        <v>5</v>
      </c>
      <c r="N7" s="91" t="n">
        <v>5</v>
      </c>
      <c r="O7" s="91" t="n">
        <v>5</v>
      </c>
      <c r="P7" s="91" t="n">
        <v>5</v>
      </c>
      <c r="Q7" s="91" t="n">
        <v>5</v>
      </c>
      <c r="R7" s="91" t="n">
        <v>5</v>
      </c>
      <c r="S7" s="91" t="n">
        <v>5</v>
      </c>
      <c r="T7" s="91" t="n">
        <v>5</v>
      </c>
      <c r="U7" s="91" t="n">
        <v>5</v>
      </c>
      <c r="V7" s="91" t="n">
        <v>5</v>
      </c>
      <c r="W7" s="91" t="n">
        <v>5</v>
      </c>
      <c r="X7" s="91" t="n">
        <v>5</v>
      </c>
      <c r="Y7" s="91" t="n">
        <v>5</v>
      </c>
      <c r="Z7" s="91" t="n">
        <v>5</v>
      </c>
      <c r="AA7" s="91" t="n">
        <v>5</v>
      </c>
      <c r="AB7" s="91" t="n">
        <v>5</v>
      </c>
      <c r="AC7" s="91" t="n">
        <v>5</v>
      </c>
      <c r="AD7" s="91" t="n">
        <v>5</v>
      </c>
      <c r="AE7" s="91" t="n">
        <v>5</v>
      </c>
      <c r="AF7" s="91" t="n">
        <v>5</v>
      </c>
      <c r="AG7" s="91" t="n">
        <v>5</v>
      </c>
      <c r="AH7" s="91" t="n">
        <v>5</v>
      </c>
      <c r="AI7" s="91" t="n">
        <v>5</v>
      </c>
      <c r="AJ7" s="91" t="n">
        <v>5</v>
      </c>
      <c r="AK7" s="87"/>
      <c r="AL7" s="87"/>
    </row>
    <row r="8" customFormat="false" ht="18" hidden="false" customHeight="true" outlineLevel="0" collapsed="false">
      <c r="A8" s="92" t="s">
        <v>161</v>
      </c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93" t="n">
        <v>4.17</v>
      </c>
      <c r="O8" s="93" t="n">
        <v>4.17</v>
      </c>
      <c r="P8" s="93" t="n">
        <v>4.17</v>
      </c>
      <c r="Q8" s="93" t="n">
        <v>4.17</v>
      </c>
      <c r="R8" s="93" t="n">
        <v>4.17</v>
      </c>
      <c r="S8" s="93" t="n">
        <v>4.17</v>
      </c>
      <c r="T8" s="93" t="n">
        <v>4.17</v>
      </c>
      <c r="U8" s="93" t="n">
        <v>4.17</v>
      </c>
      <c r="V8" s="93" t="n">
        <v>4.17</v>
      </c>
      <c r="W8" s="93" t="n">
        <v>4.17</v>
      </c>
      <c r="X8" s="93" t="n">
        <v>4.17</v>
      </c>
      <c r="Y8" s="93" t="n">
        <v>4.17</v>
      </c>
      <c r="Z8" s="93" t="n">
        <v>4.17</v>
      </c>
      <c r="AA8" s="93" t="n">
        <v>4.17</v>
      </c>
      <c r="AB8" s="93" t="n">
        <v>4.17</v>
      </c>
      <c r="AC8" s="93" t="n">
        <v>4.17</v>
      </c>
      <c r="AD8" s="93" t="n">
        <v>4.17</v>
      </c>
      <c r="AE8" s="93" t="n">
        <v>4.17</v>
      </c>
      <c r="AF8" s="93" t="n">
        <v>4.17</v>
      </c>
      <c r="AG8" s="93" t="n">
        <v>4.17</v>
      </c>
      <c r="AH8" s="93" t="n">
        <v>4.17</v>
      </c>
      <c r="AI8" s="93" t="n">
        <v>4.17</v>
      </c>
      <c r="AJ8" s="93" t="n">
        <v>4.17</v>
      </c>
      <c r="AK8" s="93" t="n">
        <v>4.17</v>
      </c>
      <c r="AL8" s="87"/>
    </row>
    <row r="9" customFormat="false" ht="18" hidden="false" customHeight="true" outlineLevel="0" collapsed="false">
      <c r="A9" s="94" t="s">
        <v>162</v>
      </c>
      <c r="B9" s="95" t="n">
        <v>70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</row>
    <row r="10" customFormat="false" ht="18" hidden="false" customHeight="true" outlineLevel="0" collapsed="false">
      <c r="A10" s="96" t="s">
        <v>163</v>
      </c>
      <c r="B10" s="87"/>
      <c r="C10" s="87"/>
      <c r="D10" s="87"/>
      <c r="E10" s="87"/>
      <c r="F10" s="87"/>
      <c r="G10" s="87"/>
      <c r="H10" s="97" t="n">
        <v>1.67</v>
      </c>
      <c r="I10" s="97" t="n">
        <v>1.67</v>
      </c>
      <c r="J10" s="97" t="n">
        <v>1.67</v>
      </c>
      <c r="K10" s="97" t="n">
        <v>1.67</v>
      </c>
      <c r="L10" s="97" t="n">
        <v>1.67</v>
      </c>
      <c r="M10" s="97" t="n">
        <v>1.67</v>
      </c>
      <c r="N10" s="97" t="n">
        <v>1.67</v>
      </c>
      <c r="O10" s="97" t="n">
        <v>1.67</v>
      </c>
      <c r="P10" s="97" t="n">
        <v>1.67</v>
      </c>
      <c r="Q10" s="97" t="n">
        <v>1.67</v>
      </c>
      <c r="R10" s="97" t="n">
        <v>1.67</v>
      </c>
      <c r="S10" s="97" t="n">
        <v>1.67</v>
      </c>
      <c r="T10" s="97" t="n">
        <v>1.67</v>
      </c>
      <c r="U10" s="97" t="n">
        <v>1.67</v>
      </c>
      <c r="V10" s="97" t="n">
        <v>1.67</v>
      </c>
      <c r="W10" s="97" t="n">
        <v>1.67</v>
      </c>
      <c r="X10" s="97" t="n">
        <v>1.67</v>
      </c>
      <c r="Y10" s="97" t="n">
        <v>1.67</v>
      </c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</row>
    <row r="11" customFormat="false" ht="18" hidden="false" customHeight="true" outlineLevel="0" collapsed="false">
      <c r="A11" s="98" t="s">
        <v>164</v>
      </c>
      <c r="B11" s="99" t="n">
        <f aca="false">SUM(B5:B10)</f>
        <v>476.94</v>
      </c>
      <c r="C11" s="99" t="n">
        <f aca="false">SUM(C5:C10)</f>
        <v>6.94</v>
      </c>
      <c r="D11" s="99" t="n">
        <f aca="false">SUM(D5:D10)</f>
        <v>6.94</v>
      </c>
      <c r="E11" s="99" t="n">
        <f aca="false">SUM(E5:E10)</f>
        <v>6.94</v>
      </c>
      <c r="F11" s="99" t="n">
        <f aca="false">SUM(F5:F10)</f>
        <v>6.94</v>
      </c>
      <c r="G11" s="99" t="n">
        <f aca="false">SUM(G5:G10)</f>
        <v>11.94</v>
      </c>
      <c r="H11" s="99" t="n">
        <f aca="false">SUM(H5:H10)</f>
        <v>13.61</v>
      </c>
      <c r="I11" s="99" t="n">
        <f aca="false">SUM(I5:I10)</f>
        <v>13.61</v>
      </c>
      <c r="J11" s="99" t="n">
        <f aca="false">SUM(J5:J10)</f>
        <v>13.61</v>
      </c>
      <c r="K11" s="99" t="n">
        <f aca="false">SUM(K5:K10)</f>
        <v>13.61</v>
      </c>
      <c r="L11" s="99" t="n">
        <f aca="false">SUM(L5:L10)</f>
        <v>13.61</v>
      </c>
      <c r="M11" s="99" t="n">
        <f aca="false">SUM(M5:M10)</f>
        <v>13.61</v>
      </c>
      <c r="N11" s="99" t="n">
        <f aca="false">SUM(N5:N10)</f>
        <v>17.78</v>
      </c>
      <c r="O11" s="99" t="n">
        <f aca="false">SUM(O5:O10)</f>
        <v>17.78</v>
      </c>
      <c r="P11" s="99" t="n">
        <f aca="false">SUM(P5:P10)</f>
        <v>17.78</v>
      </c>
      <c r="Q11" s="99" t="n">
        <f aca="false">SUM(Q5:Q10)</f>
        <v>17.78</v>
      </c>
      <c r="R11" s="99" t="n">
        <f aca="false">SUM(R5:R10)</f>
        <v>17.78</v>
      </c>
      <c r="S11" s="99" t="n">
        <f aca="false">SUM(S5:S10)</f>
        <v>17.78</v>
      </c>
      <c r="T11" s="99" t="n">
        <f aca="false">SUM(T5:T10)</f>
        <v>17.78</v>
      </c>
      <c r="U11" s="99" t="n">
        <f aca="false">SUM(U5:U10)</f>
        <v>17.78</v>
      </c>
      <c r="V11" s="99" t="n">
        <f aca="false">SUM(V5:V10)</f>
        <v>17.78</v>
      </c>
      <c r="W11" s="99" t="n">
        <f aca="false">SUM(W5:W10)</f>
        <v>17.78</v>
      </c>
      <c r="X11" s="99" t="n">
        <f aca="false">SUM(X5:X10)</f>
        <v>17.78</v>
      </c>
      <c r="Y11" s="99" t="n">
        <f aca="false">SUM(Y5:Y10)</f>
        <v>17.78</v>
      </c>
      <c r="Z11" s="99" t="n">
        <f aca="false">SUM(Z5:Z10)</f>
        <v>16.11</v>
      </c>
      <c r="AA11" s="99" t="n">
        <f aca="false">SUM(AA5:AA10)</f>
        <v>16.11</v>
      </c>
      <c r="AB11" s="99" t="n">
        <f aca="false">SUM(AB5:AB10)</f>
        <v>16.11</v>
      </c>
      <c r="AC11" s="99" t="n">
        <f aca="false">SUM(AC5:AC10)</f>
        <v>16.11</v>
      </c>
      <c r="AD11" s="99" t="n">
        <f aca="false">SUM(AD5:AD10)</f>
        <v>16.11</v>
      </c>
      <c r="AE11" s="99" t="n">
        <f aca="false">SUM(AE5:AE10)</f>
        <v>16.11</v>
      </c>
      <c r="AF11" s="99" t="n">
        <f aca="false">SUM(AF5:AF10)</f>
        <v>16.11</v>
      </c>
      <c r="AG11" s="99" t="n">
        <f aca="false">SUM(AG5:AG10)</f>
        <v>16.11</v>
      </c>
      <c r="AH11" s="99" t="n">
        <f aca="false">SUM(AH5:AH10)</f>
        <v>16.11</v>
      </c>
      <c r="AI11" s="99" t="n">
        <f aca="false">SUM(AI5:AI10)</f>
        <v>16.11</v>
      </c>
      <c r="AJ11" s="99" t="n">
        <f aca="false">SUM(AJ5:AJ10)</f>
        <v>16.11</v>
      </c>
      <c r="AK11" s="99" t="n">
        <f aca="false">SUM(AK5:AK10)</f>
        <v>11.11</v>
      </c>
      <c r="AL11" s="99" t="n">
        <f aca="false">SUM(AL5:AL10)</f>
        <v>0</v>
      </c>
    </row>
    <row r="12" customFormat="false" ht="18" hidden="false" customHeight="true" outlineLevel="0" collapsed="false">
      <c r="A12" s="59" t="s">
        <v>165</v>
      </c>
      <c r="B12" s="100" t="n">
        <f aca="false">B11</f>
        <v>476.94</v>
      </c>
      <c r="C12" s="100" t="n">
        <f aca="false">B12+C11</f>
        <v>483.88</v>
      </c>
      <c r="D12" s="100" t="n">
        <f aca="false">C12+D11</f>
        <v>490.82</v>
      </c>
      <c r="E12" s="100" t="n">
        <f aca="false">D12+E11</f>
        <v>497.76</v>
      </c>
      <c r="F12" s="100" t="n">
        <f aca="false">E12+F11</f>
        <v>504.7</v>
      </c>
      <c r="G12" s="100" t="n">
        <f aca="false">F12+G11</f>
        <v>516.64</v>
      </c>
      <c r="H12" s="100" t="n">
        <f aca="false">G12+H11</f>
        <v>530.25</v>
      </c>
      <c r="I12" s="100" t="n">
        <f aca="false">H12+I11</f>
        <v>543.86</v>
      </c>
      <c r="J12" s="100" t="n">
        <f aca="false">I12+J11</f>
        <v>557.47</v>
      </c>
      <c r="K12" s="100" t="n">
        <f aca="false">J12+K11</f>
        <v>571.08</v>
      </c>
      <c r="L12" s="100" t="n">
        <f aca="false">K12+L11</f>
        <v>584.69</v>
      </c>
      <c r="M12" s="100" t="n">
        <f aca="false">L12+M11</f>
        <v>598.3</v>
      </c>
      <c r="N12" s="100" t="n">
        <f aca="false">M12+N11</f>
        <v>616.08</v>
      </c>
      <c r="O12" s="100" t="n">
        <f aca="false">N12+O11</f>
        <v>633.86</v>
      </c>
      <c r="P12" s="100" t="n">
        <f aca="false">O12+P11</f>
        <v>651.64</v>
      </c>
      <c r="Q12" s="100" t="n">
        <f aca="false">P12+Q11</f>
        <v>669.42</v>
      </c>
      <c r="R12" s="100" t="n">
        <f aca="false">Q12+R11</f>
        <v>687.2</v>
      </c>
      <c r="S12" s="100" t="n">
        <f aca="false">R12+S11</f>
        <v>704.98</v>
      </c>
      <c r="T12" s="100" t="n">
        <f aca="false">S12+T11</f>
        <v>722.76</v>
      </c>
      <c r="U12" s="100" t="n">
        <f aca="false">T12+U11</f>
        <v>740.54</v>
      </c>
      <c r="V12" s="100" t="n">
        <f aca="false">U12+V11</f>
        <v>758.32</v>
      </c>
      <c r="W12" s="100" t="n">
        <f aca="false">V12+W11</f>
        <v>776.1</v>
      </c>
      <c r="X12" s="100" t="n">
        <f aca="false">W12+X11</f>
        <v>793.88</v>
      </c>
      <c r="Y12" s="100" t="n">
        <f aca="false">X12+Y11</f>
        <v>811.66</v>
      </c>
      <c r="Z12" s="100" t="n">
        <f aca="false">Y12+Z11</f>
        <v>827.77</v>
      </c>
      <c r="AA12" s="100" t="n">
        <f aca="false">Z12+AA11</f>
        <v>843.88</v>
      </c>
      <c r="AB12" s="100" t="n">
        <f aca="false">AA12+AB11</f>
        <v>859.99</v>
      </c>
      <c r="AC12" s="100" t="n">
        <f aca="false">AB12+AC11</f>
        <v>876.1</v>
      </c>
      <c r="AD12" s="100" t="n">
        <f aca="false">AC12+AD11</f>
        <v>892.21</v>
      </c>
      <c r="AE12" s="100" t="n">
        <f aca="false">AD12+AE11</f>
        <v>908.32</v>
      </c>
      <c r="AF12" s="100" t="n">
        <f aca="false">AE12+AF11</f>
        <v>924.43</v>
      </c>
      <c r="AG12" s="100" t="n">
        <f aca="false">AF12+AG11</f>
        <v>940.54</v>
      </c>
      <c r="AH12" s="100" t="n">
        <f aca="false">AG12+AH11</f>
        <v>956.65</v>
      </c>
      <c r="AI12" s="100" t="n">
        <f aca="false">AH12+AI11</f>
        <v>972.76</v>
      </c>
      <c r="AJ12" s="100" t="n">
        <f aca="false">AI12+AJ11</f>
        <v>988.87</v>
      </c>
      <c r="AK12" s="100" t="n">
        <f aca="false">AJ12+AK11</f>
        <v>999.98</v>
      </c>
      <c r="AL12" s="100" t="n">
        <f aca="false">AK12+AL11</f>
        <v>999.98</v>
      </c>
    </row>
  </sheetData>
  <mergeCells count="2">
    <mergeCell ref="A1:AL1"/>
    <mergeCell ref="A2:A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18"/>
    <col collapsed="false" customWidth="true" hidden="false" outlineLevel="0" max="7" min="7" style="1" width="20"/>
  </cols>
  <sheetData>
    <row r="1" customFormat="false" ht="36" hidden="false" customHeight="true" outlineLevel="0" collapsed="false">
      <c r="A1" s="64" t="s">
        <v>166</v>
      </c>
      <c r="B1" s="64"/>
      <c r="C1" s="64"/>
      <c r="D1" s="64"/>
      <c r="E1" s="64"/>
      <c r="F1" s="64"/>
      <c r="G1" s="64"/>
    </row>
    <row r="2" customFormat="false" ht="18" hidden="false" customHeight="true" outlineLevel="0" collapsed="false">
      <c r="A2" s="3" t="s">
        <v>167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21.75" hidden="false" customHeight="true" outlineLevel="0" collapsed="false">
      <c r="A4" s="11" t="s">
        <v>168</v>
      </c>
      <c r="B4" s="11"/>
      <c r="C4" s="11"/>
      <c r="D4" s="11"/>
      <c r="E4" s="11"/>
      <c r="F4" s="11"/>
      <c r="G4" s="11"/>
    </row>
    <row r="5" customFormat="false" ht="18" hidden="false" customHeight="true" outlineLevel="0" collapsed="false">
      <c r="A5" s="12" t="s">
        <v>169</v>
      </c>
      <c r="B5" s="101" t="s">
        <v>170</v>
      </c>
      <c r="C5" s="101"/>
      <c r="D5" s="102" t="s">
        <v>171</v>
      </c>
      <c r="E5" s="102"/>
      <c r="F5" s="103" t="s">
        <v>172</v>
      </c>
      <c r="G5" s="103"/>
    </row>
    <row r="6" customFormat="false" ht="18" hidden="false" customHeight="true" outlineLevel="0" collapsed="false">
      <c r="A6" s="37" t="s">
        <v>173</v>
      </c>
      <c r="B6" s="104" t="n">
        <v>2000000</v>
      </c>
      <c r="C6" s="104"/>
      <c r="D6" s="104" t="n">
        <v>10000000</v>
      </c>
      <c r="E6" s="104"/>
      <c r="F6" s="104" t="n">
        <v>50000000</v>
      </c>
      <c r="G6" s="104"/>
    </row>
    <row r="7" customFormat="false" ht="18" hidden="false" customHeight="true" outlineLevel="0" collapsed="false">
      <c r="A7" s="39" t="s">
        <v>174</v>
      </c>
      <c r="B7" s="105" t="n">
        <v>0.2</v>
      </c>
      <c r="C7" s="105"/>
      <c r="D7" s="105" t="n">
        <v>0.85</v>
      </c>
      <c r="E7" s="105"/>
      <c r="F7" s="105" t="n">
        <v>2.5</v>
      </c>
      <c r="G7" s="105"/>
    </row>
    <row r="8" customFormat="false" ht="18" hidden="false" customHeight="true" outlineLevel="0" collapsed="false">
      <c r="A8" s="69" t="s">
        <v>175</v>
      </c>
      <c r="B8" s="104" t="n">
        <v>5000000</v>
      </c>
      <c r="C8" s="104"/>
      <c r="D8" s="104" t="n">
        <v>100000000</v>
      </c>
      <c r="E8" s="104"/>
      <c r="F8" s="104" t="n">
        <v>500000000</v>
      </c>
      <c r="G8" s="104"/>
    </row>
    <row r="9" customFormat="false" ht="18" hidden="false" customHeight="true" outlineLevel="0" collapsed="false">
      <c r="A9" s="39" t="s">
        <v>176</v>
      </c>
      <c r="B9" s="106" t="n">
        <f aca="false">B8/'📋 Overview'!$B$5</f>
        <v>0.005</v>
      </c>
      <c r="C9" s="106"/>
      <c r="D9" s="106" t="n">
        <f aca="false">D8/'📋 Overview'!$B$5</f>
        <v>0.1</v>
      </c>
      <c r="E9" s="106"/>
      <c r="F9" s="106" t="n">
        <f aca="false">F8/'📋 Overview'!$B$5</f>
        <v>0.5</v>
      </c>
      <c r="G9" s="106"/>
    </row>
    <row r="10" customFormat="false" ht="18" hidden="false" customHeight="true" outlineLevel="0" collapsed="false">
      <c r="A10" s="69" t="s">
        <v>177</v>
      </c>
      <c r="B10" s="107" t="n">
        <f aca="false">1000*B9/'📋 Overview'!$B$6</f>
        <v>5000</v>
      </c>
      <c r="C10" s="107"/>
      <c r="D10" s="107" t="n">
        <f aca="false">1000*D9/'📋 Overview'!$B$6</f>
        <v>100000</v>
      </c>
      <c r="E10" s="107"/>
      <c r="F10" s="107" t="n">
        <f aca="false">1000*F9/'📋 Overview'!$B$6</f>
        <v>500000</v>
      </c>
      <c r="G10" s="107"/>
    </row>
    <row r="11" customFormat="false" ht="7.5" hidden="false" customHeight="true" outlineLevel="0" collapsed="false"/>
    <row r="13" customFormat="false" ht="21.75" hidden="false" customHeight="true" outlineLevel="0" collapsed="false">
      <c r="A13" s="11" t="s">
        <v>178</v>
      </c>
      <c r="B13" s="11"/>
      <c r="C13" s="11"/>
      <c r="D13" s="11"/>
      <c r="E13" s="11"/>
      <c r="F13" s="11"/>
      <c r="G13" s="11"/>
    </row>
    <row r="14" customFormat="false" ht="18" hidden="false" customHeight="true" outlineLevel="0" collapsed="false">
      <c r="A14" s="12" t="s">
        <v>179</v>
      </c>
      <c r="B14" s="101" t="s">
        <v>180</v>
      </c>
      <c r="C14" s="101" t="s">
        <v>181</v>
      </c>
      <c r="D14" s="102" t="s">
        <v>182</v>
      </c>
      <c r="E14" s="102" t="s">
        <v>183</v>
      </c>
      <c r="F14" s="103" t="s">
        <v>184</v>
      </c>
      <c r="G14" s="103" t="s">
        <v>185</v>
      </c>
    </row>
    <row r="15" customFormat="false" ht="18" hidden="false" customHeight="true" outlineLevel="0" collapsed="false">
      <c r="A15" s="108" t="s">
        <v>86</v>
      </c>
      <c r="B15" s="68" t="n">
        <f aca="false">B6</f>
        <v>2000000</v>
      </c>
      <c r="C15" s="109" t="n">
        <f aca="false">B15/'📋 Overview'!$B$5</f>
        <v>0.002</v>
      </c>
      <c r="D15" s="68" t="n">
        <f aca="false">D6</f>
        <v>10000000</v>
      </c>
      <c r="E15" s="109" t="n">
        <f aca="false">D15/'📋 Overview'!$B$5</f>
        <v>0.01</v>
      </c>
      <c r="F15" s="68" t="n">
        <f aca="false">F6</f>
        <v>50000000</v>
      </c>
      <c r="G15" s="109" t="n">
        <f aca="false">F15/'📋 Overview'!$B$5</f>
        <v>0.05</v>
      </c>
    </row>
    <row r="16" customFormat="false" ht="18" hidden="false" customHeight="true" outlineLevel="0" collapsed="false">
      <c r="A16" s="110" t="s">
        <v>87</v>
      </c>
      <c r="B16" s="70" t="n">
        <f aca="false">B15*(1+B7)</f>
        <v>2400000</v>
      </c>
      <c r="C16" s="111" t="n">
        <f aca="false">B16/'📋 Overview'!$B$5</f>
        <v>0.0024</v>
      </c>
      <c r="D16" s="70" t="n">
        <f aca="false">D15*(1+D7)</f>
        <v>18500000</v>
      </c>
      <c r="E16" s="111" t="n">
        <f aca="false">D16/'📋 Overview'!$B$5</f>
        <v>0.0185</v>
      </c>
      <c r="F16" s="70" t="n">
        <f aca="false">F15*(1+F7)</f>
        <v>175000000</v>
      </c>
      <c r="G16" s="111" t="n">
        <f aca="false">F16/'📋 Overview'!$B$5</f>
        <v>0.175</v>
      </c>
    </row>
    <row r="17" customFormat="false" ht="18" hidden="false" customHeight="true" outlineLevel="0" collapsed="false">
      <c r="A17" s="108" t="s">
        <v>88</v>
      </c>
      <c r="B17" s="68" t="n">
        <f aca="false">B16*(1+B7)</f>
        <v>2880000</v>
      </c>
      <c r="C17" s="109" t="n">
        <f aca="false">B17/'📋 Overview'!$B$5</f>
        <v>0.00288</v>
      </c>
      <c r="D17" s="68" t="n">
        <f aca="false">D16*(1+D7)</f>
        <v>34225000</v>
      </c>
      <c r="E17" s="109" t="n">
        <f aca="false">D17/'📋 Overview'!$B$5</f>
        <v>0.034225</v>
      </c>
      <c r="F17" s="68" t="n">
        <f aca="false">F16*(1+F7)</f>
        <v>612500000</v>
      </c>
      <c r="G17" s="109" t="n">
        <f aca="false">F17/'📋 Overview'!$B$5</f>
        <v>0.6125</v>
      </c>
    </row>
    <row r="18" customFormat="false" ht="18" hidden="false" customHeight="true" outlineLevel="0" collapsed="false">
      <c r="A18" s="110" t="s">
        <v>89</v>
      </c>
      <c r="B18" s="70" t="n">
        <f aca="false">B17*(1+B7)</f>
        <v>3456000</v>
      </c>
      <c r="C18" s="111" t="n">
        <f aca="false">B18/'📋 Overview'!$B$5</f>
        <v>0.003456</v>
      </c>
      <c r="D18" s="70" t="n">
        <f aca="false">D17*(1+D7)</f>
        <v>63316250</v>
      </c>
      <c r="E18" s="111" t="n">
        <f aca="false">D18/'📋 Overview'!$B$5</f>
        <v>0.06331625</v>
      </c>
      <c r="F18" s="70" t="n">
        <f aca="false">F17*(1+F7)</f>
        <v>2143750000</v>
      </c>
      <c r="G18" s="111" t="n">
        <f aca="false">F18/'📋 Overview'!$B$5</f>
        <v>2.14375</v>
      </c>
    </row>
    <row r="19" customFormat="false" ht="18" hidden="false" customHeight="true" outlineLevel="0" collapsed="false">
      <c r="A19" s="108" t="s">
        <v>90</v>
      </c>
      <c r="B19" s="68" t="n">
        <f aca="false">B18*(1+B7)</f>
        <v>4147200</v>
      </c>
      <c r="C19" s="109" t="n">
        <f aca="false">B19/'📋 Overview'!$B$5</f>
        <v>0.0041472</v>
      </c>
      <c r="D19" s="68" t="n">
        <f aca="false">D18*(1+D7)</f>
        <v>117135062.5</v>
      </c>
      <c r="E19" s="109" t="n">
        <f aca="false">D19/'📋 Overview'!$B$5</f>
        <v>0.1171350625</v>
      </c>
      <c r="F19" s="68" t="n">
        <f aca="false">F18*(1+F7)</f>
        <v>7503125000</v>
      </c>
      <c r="G19" s="109" t="n">
        <f aca="false">F19/'📋 Overview'!$B$5</f>
        <v>7.503125</v>
      </c>
    </row>
    <row r="20" customFormat="false" ht="7.5" hidden="false" customHeight="true" outlineLevel="0" collapsed="false"/>
    <row r="22" customFormat="false" ht="21.75" hidden="false" customHeight="true" outlineLevel="0" collapsed="false">
      <c r="A22" s="11" t="s">
        <v>186</v>
      </c>
      <c r="B22" s="11"/>
      <c r="C22" s="11"/>
      <c r="D22" s="11"/>
      <c r="E22" s="11"/>
      <c r="F22" s="11"/>
      <c r="G22" s="11"/>
    </row>
    <row r="23" customFormat="false" ht="18" hidden="false" customHeight="true" outlineLevel="0" collapsed="false">
      <c r="A23" s="12" t="s">
        <v>109</v>
      </c>
      <c r="B23" s="101" t="s">
        <v>187</v>
      </c>
      <c r="C23" s="101" t="s">
        <v>188</v>
      </c>
      <c r="D23" s="102" t="s">
        <v>189</v>
      </c>
      <c r="E23" s="102" t="s">
        <v>190</v>
      </c>
      <c r="F23" s="103" t="s">
        <v>191</v>
      </c>
      <c r="G23" s="103" t="s">
        <v>192</v>
      </c>
    </row>
    <row r="24" customFormat="false" ht="18" hidden="false" customHeight="true" outlineLevel="0" collapsed="false">
      <c r="A24" s="112" t="n">
        <v>100</v>
      </c>
      <c r="B24" s="70" t="n">
        <f aca="false">(A24/'📋 Overview'!$B$6)*(B8/'📋 Overview'!$B$5)</f>
        <v>500</v>
      </c>
      <c r="C24" s="113" t="n">
        <f aca="false">B24-A24</f>
        <v>400</v>
      </c>
      <c r="D24" s="70" t="n">
        <f aca="false">(A24/'📋 Overview'!$B$6)*(D8/'📋 Overview'!$B$5)</f>
        <v>10000</v>
      </c>
      <c r="E24" s="114" t="n">
        <f aca="false">D24-A24</f>
        <v>9900</v>
      </c>
      <c r="F24" s="70" t="n">
        <f aca="false">(A24/'📋 Overview'!$B$6)*(F8/'📋 Overview'!$B$5)</f>
        <v>50000</v>
      </c>
      <c r="G24" s="115" t="n">
        <f aca="false">F24-A24</f>
        <v>49900</v>
      </c>
    </row>
    <row r="25" customFormat="false" ht="18" hidden="false" customHeight="true" outlineLevel="0" collapsed="false">
      <c r="A25" s="116" t="n">
        <v>500</v>
      </c>
      <c r="B25" s="68" t="n">
        <f aca="false">(A25/'📋 Overview'!$B$6)*(B8/'📋 Overview'!$B$5)</f>
        <v>2500</v>
      </c>
      <c r="C25" s="117" t="n">
        <f aca="false">B25-A25</f>
        <v>2000</v>
      </c>
      <c r="D25" s="68" t="n">
        <f aca="false">(A25/'📋 Overview'!$B$6)*(D8/'📋 Overview'!$B$5)</f>
        <v>50000</v>
      </c>
      <c r="E25" s="118" t="n">
        <f aca="false">D25-A25</f>
        <v>49500</v>
      </c>
      <c r="F25" s="68" t="n">
        <f aca="false">(A25/'📋 Overview'!$B$6)*(F8/'📋 Overview'!$B$5)</f>
        <v>250000</v>
      </c>
      <c r="G25" s="119" t="n">
        <f aca="false">F25-A25</f>
        <v>249500</v>
      </c>
    </row>
    <row r="26" customFormat="false" ht="18" hidden="false" customHeight="true" outlineLevel="0" collapsed="false">
      <c r="A26" s="112" t="n">
        <v>1000</v>
      </c>
      <c r="B26" s="70" t="n">
        <f aca="false">(A26/'📋 Overview'!$B$6)*(B8/'📋 Overview'!$B$5)</f>
        <v>5000</v>
      </c>
      <c r="C26" s="113" t="n">
        <f aca="false">B26-A26</f>
        <v>4000</v>
      </c>
      <c r="D26" s="70" t="n">
        <f aca="false">(A26/'📋 Overview'!$B$6)*(D8/'📋 Overview'!$B$5)</f>
        <v>100000</v>
      </c>
      <c r="E26" s="114" t="n">
        <f aca="false">D26-A26</f>
        <v>99000</v>
      </c>
      <c r="F26" s="70" t="n">
        <f aca="false">(A26/'📋 Overview'!$B$6)*(F8/'📋 Overview'!$B$5)</f>
        <v>500000</v>
      </c>
      <c r="G26" s="115" t="n">
        <f aca="false">F26-A26</f>
        <v>499000</v>
      </c>
    </row>
    <row r="27" customFormat="false" ht="18" hidden="false" customHeight="true" outlineLevel="0" collapsed="false">
      <c r="A27" s="116" t="n">
        <v>5000</v>
      </c>
      <c r="B27" s="68" t="n">
        <f aca="false">(A27/'📋 Overview'!$B$6)*(B8/'📋 Overview'!$B$5)</f>
        <v>25000</v>
      </c>
      <c r="C27" s="117" t="n">
        <f aca="false">B27-A27</f>
        <v>20000</v>
      </c>
      <c r="D27" s="68" t="n">
        <f aca="false">(A27/'📋 Overview'!$B$6)*(D8/'📋 Overview'!$B$5)</f>
        <v>500000</v>
      </c>
      <c r="E27" s="118" t="n">
        <f aca="false">D27-A27</f>
        <v>495000</v>
      </c>
      <c r="F27" s="68" t="n">
        <f aca="false">(A27/'📋 Overview'!$B$6)*(F8/'📋 Overview'!$B$5)</f>
        <v>2500000</v>
      </c>
      <c r="G27" s="119" t="n">
        <f aca="false">F27-A27</f>
        <v>2495000</v>
      </c>
    </row>
    <row r="28" customFormat="false" ht="18" hidden="false" customHeight="true" outlineLevel="0" collapsed="false">
      <c r="A28" s="112" t="n">
        <v>10000</v>
      </c>
      <c r="B28" s="70" t="n">
        <f aca="false">(A28/'📋 Overview'!$B$6)*(B8/'📋 Overview'!$B$5)</f>
        <v>50000</v>
      </c>
      <c r="C28" s="113" t="n">
        <f aca="false">B28-A28</f>
        <v>40000</v>
      </c>
      <c r="D28" s="70" t="n">
        <f aca="false">(A28/'📋 Overview'!$B$6)*(D8/'📋 Overview'!$B$5)</f>
        <v>1000000</v>
      </c>
      <c r="E28" s="114" t="n">
        <f aca="false">D28-A28</f>
        <v>990000</v>
      </c>
      <c r="F28" s="70" t="n">
        <f aca="false">(A28/'📋 Overview'!$B$6)*(F8/'📋 Overview'!$B$5)</f>
        <v>5000000</v>
      </c>
      <c r="G28" s="115" t="n">
        <f aca="false">F28-A28</f>
        <v>4990000</v>
      </c>
    </row>
    <row r="29" customFormat="false" ht="18" hidden="false" customHeight="true" outlineLevel="0" collapsed="false">
      <c r="A29" s="116" t="n">
        <v>50000</v>
      </c>
      <c r="B29" s="68" t="n">
        <f aca="false">(A29/'📋 Overview'!$B$6)*(B8/'📋 Overview'!$B$5)</f>
        <v>250000</v>
      </c>
      <c r="C29" s="117" t="n">
        <f aca="false">B29-A29</f>
        <v>200000</v>
      </c>
      <c r="D29" s="68" t="n">
        <f aca="false">(A29/'📋 Overview'!$B$6)*(D8/'📋 Overview'!$B$5)</f>
        <v>5000000</v>
      </c>
      <c r="E29" s="118" t="n">
        <f aca="false">D29-A29</f>
        <v>4950000</v>
      </c>
      <c r="F29" s="68" t="n">
        <f aca="false">(A29/'📋 Overview'!$B$6)*(F8/'📋 Overview'!$B$5)</f>
        <v>25000000</v>
      </c>
      <c r="G29" s="119" t="n">
        <f aca="false">F29-A29</f>
        <v>24950000</v>
      </c>
    </row>
  </sheetData>
  <mergeCells count="23">
    <mergeCell ref="A1:G1"/>
    <mergeCell ref="A2:G2"/>
    <mergeCell ref="A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A13:G13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6" min="2" style="1" width="16"/>
    <col collapsed="false" customWidth="true" hidden="false" outlineLevel="0" max="7" min="7" style="1" width="20"/>
  </cols>
  <sheetData>
    <row r="1" customFormat="false" ht="36" hidden="false" customHeight="true" outlineLevel="0" collapsed="false">
      <c r="A1" s="64" t="s">
        <v>193</v>
      </c>
      <c r="B1" s="64"/>
      <c r="C1" s="64"/>
      <c r="D1" s="64"/>
      <c r="E1" s="64"/>
      <c r="F1" s="64"/>
      <c r="G1" s="64"/>
    </row>
    <row r="2" customFormat="false" ht="18" hidden="false" customHeight="true" outlineLevel="0" collapsed="false">
      <c r="A2" s="3" t="s">
        <v>194</v>
      </c>
      <c r="B2" s="3"/>
      <c r="C2" s="3"/>
      <c r="D2" s="3"/>
      <c r="E2" s="3"/>
      <c r="F2" s="3"/>
      <c r="G2" s="3"/>
    </row>
    <row r="3" customFormat="false" ht="7.5" hidden="false" customHeight="true" outlineLevel="0" collapsed="false"/>
    <row r="4" customFormat="false" ht="21.75" hidden="false" customHeight="true" outlineLevel="0" collapsed="false">
      <c r="A4" s="11" t="s">
        <v>195</v>
      </c>
      <c r="B4" s="11"/>
      <c r="C4" s="11"/>
      <c r="D4" s="11"/>
      <c r="E4" s="11"/>
      <c r="F4" s="11"/>
      <c r="G4" s="11"/>
    </row>
    <row r="5" customFormat="false" ht="18" hidden="false" customHeight="true" outlineLevel="0" collapsed="false">
      <c r="A5" s="12"/>
      <c r="B5" s="65" t="s">
        <v>86</v>
      </c>
      <c r="C5" s="65" t="s">
        <v>87</v>
      </c>
      <c r="D5" s="65" t="s">
        <v>88</v>
      </c>
      <c r="E5" s="65" t="s">
        <v>89</v>
      </c>
      <c r="F5" s="65" t="s">
        <v>90</v>
      </c>
      <c r="G5" s="65" t="s">
        <v>196</v>
      </c>
    </row>
    <row r="6" customFormat="false" ht="18" hidden="false" customHeight="true" outlineLevel="0" collapsed="false">
      <c r="A6" s="37" t="s">
        <v>197</v>
      </c>
      <c r="B6" s="16" t="n">
        <f aca="false">'⚡ Fee Mechanics'!B7</f>
        <v>500000</v>
      </c>
      <c r="C6" s="70" t="n">
        <f aca="false">'⚡ Fee Mechanics'!C7</f>
        <v>925000</v>
      </c>
      <c r="D6" s="70" t="n">
        <f aca="false">'⚡ Fee Mechanics'!D7</f>
        <v>1711250</v>
      </c>
      <c r="E6" s="70" t="n">
        <f aca="false">'⚡ Fee Mechanics'!E7</f>
        <v>3165812.5</v>
      </c>
      <c r="F6" s="70" t="n">
        <f aca="false">'⚡ Fee Mechanics'!F7</f>
        <v>5856753.125</v>
      </c>
      <c r="G6" s="120" t="s">
        <v>198</v>
      </c>
    </row>
    <row r="7" customFormat="false" ht="18" hidden="false" customHeight="true" outlineLevel="0" collapsed="false">
      <c r="A7" s="39" t="s">
        <v>7</v>
      </c>
      <c r="B7" s="121" t="n">
        <f aca="false">'📋 Overview'!$B$12</f>
        <v>0.2</v>
      </c>
      <c r="C7" s="122" t="n">
        <f aca="false">'📋 Overview'!$B$12</f>
        <v>0.2</v>
      </c>
      <c r="D7" s="122" t="n">
        <f aca="false">'📋 Overview'!$B$12</f>
        <v>0.2</v>
      </c>
      <c r="E7" s="122" t="n">
        <f aca="false">'📋 Overview'!$B$12</f>
        <v>0.2</v>
      </c>
      <c r="F7" s="122" t="n">
        <f aca="false">'📋 Overview'!$B$12</f>
        <v>0.2</v>
      </c>
      <c r="G7" s="123" t="s">
        <v>199</v>
      </c>
    </row>
    <row r="8" customFormat="false" ht="18" hidden="false" customHeight="true" outlineLevel="0" collapsed="false">
      <c r="A8" s="69" t="s">
        <v>200</v>
      </c>
      <c r="B8" s="16" t="n">
        <f aca="false">B6*B7</f>
        <v>100000</v>
      </c>
      <c r="C8" s="70" t="n">
        <f aca="false">C6*C7</f>
        <v>185000</v>
      </c>
      <c r="D8" s="70" t="n">
        <f aca="false">D6*D7</f>
        <v>342250</v>
      </c>
      <c r="E8" s="70" t="n">
        <f aca="false">E6*E7</f>
        <v>633162.5</v>
      </c>
      <c r="F8" s="70" t="n">
        <f aca="false">F6*F7</f>
        <v>1171350.625</v>
      </c>
      <c r="G8" s="120" t="s">
        <v>201</v>
      </c>
    </row>
    <row r="9" customFormat="false" ht="18" hidden="false" customHeight="true" outlineLevel="0" collapsed="false">
      <c r="A9" s="39" t="s">
        <v>202</v>
      </c>
      <c r="B9" s="40" t="n">
        <v>0.001</v>
      </c>
      <c r="C9" s="81" t="n">
        <v>0.002</v>
      </c>
      <c r="D9" s="81" t="n">
        <v>0.005</v>
      </c>
      <c r="E9" s="81" t="n">
        <v>0.01</v>
      </c>
      <c r="F9" s="81" t="n">
        <v>0.02</v>
      </c>
      <c r="G9" s="123" t="s">
        <v>203</v>
      </c>
    </row>
    <row r="10" customFormat="false" ht="18" hidden="false" customHeight="true" outlineLevel="0" collapsed="false">
      <c r="A10" s="69" t="s">
        <v>204</v>
      </c>
      <c r="B10" s="15" t="n">
        <f aca="false">IF(B9=0,0,B8/B9)</f>
        <v>100000000</v>
      </c>
      <c r="C10" s="79" t="n">
        <f aca="false">IF(C9=0,0,C8/C9)</f>
        <v>92500000</v>
      </c>
      <c r="D10" s="79" t="n">
        <f aca="false">IF(D9=0,0,D8/D9)</f>
        <v>68450000</v>
      </c>
      <c r="E10" s="79" t="n">
        <f aca="false">IF(E9=0,0,E8/E9)</f>
        <v>63316250</v>
      </c>
      <c r="F10" s="79" t="n">
        <f aca="false">IF(F9=0,0,F8/F9)</f>
        <v>58567531.25</v>
      </c>
      <c r="G10" s="120" t="s">
        <v>205</v>
      </c>
    </row>
    <row r="11" customFormat="false" ht="18" hidden="false" customHeight="true" outlineLevel="0" collapsed="false">
      <c r="A11" s="39" t="s">
        <v>206</v>
      </c>
      <c r="B11" s="20" t="n">
        <f aca="false">B10</f>
        <v>100000000</v>
      </c>
      <c r="C11" s="76" t="n">
        <f aca="false">B11+C10</f>
        <v>192500000</v>
      </c>
      <c r="D11" s="76" t="n">
        <f aca="false">C11+D10</f>
        <v>260950000</v>
      </c>
      <c r="E11" s="76" t="n">
        <f aca="false">D11+E10</f>
        <v>324266250</v>
      </c>
      <c r="F11" s="76" t="n">
        <f aca="false">E11+F10</f>
        <v>382833781.25</v>
      </c>
      <c r="G11" s="123" t="s">
        <v>207</v>
      </c>
    </row>
    <row r="12" customFormat="false" ht="18" hidden="false" customHeight="true" outlineLevel="0" collapsed="false">
      <c r="A12" s="69" t="s">
        <v>208</v>
      </c>
      <c r="B12" s="124" t="n">
        <f aca="false">('📋 Overview'!$B$5-B11)/1000000000</f>
        <v>0.9</v>
      </c>
      <c r="C12" s="125" t="n">
        <f aca="false">('📋 Overview'!$B$5-C11)/1000000000</f>
        <v>0.8075</v>
      </c>
      <c r="D12" s="125" t="n">
        <f aca="false">('📋 Overview'!$B$5-D11)/1000000000</f>
        <v>0.73905</v>
      </c>
      <c r="E12" s="125" t="n">
        <f aca="false">('📋 Overview'!$B$5-E11)/1000000000</f>
        <v>0.67573375</v>
      </c>
      <c r="F12" s="125" t="n">
        <f aca="false">('📋 Overview'!$B$5-F11)/1000000000</f>
        <v>0.61716621875</v>
      </c>
      <c r="G12" s="120" t="s">
        <v>209</v>
      </c>
    </row>
    <row r="13" customFormat="false" ht="18" hidden="false" customHeight="true" outlineLevel="0" collapsed="false">
      <c r="A13" s="39" t="s">
        <v>210</v>
      </c>
      <c r="B13" s="126" t="n">
        <f aca="false">B11/'📋 Overview'!$B$5</f>
        <v>0.1</v>
      </c>
      <c r="C13" s="127" t="n">
        <f aca="false">C11/'📋 Overview'!$B$5</f>
        <v>0.1925</v>
      </c>
      <c r="D13" s="127" t="n">
        <f aca="false">D11/'📋 Overview'!$B$5</f>
        <v>0.26095</v>
      </c>
      <c r="E13" s="127" t="n">
        <f aca="false">E11/'📋 Overview'!$B$5</f>
        <v>0.32426625</v>
      </c>
      <c r="F13" s="127" t="n">
        <f aca="false">F11/'📋 Overview'!$B$5</f>
        <v>0.38283378125</v>
      </c>
      <c r="G13" s="123" t="s">
        <v>211</v>
      </c>
    </row>
  </sheetData>
  <mergeCells count="3">
    <mergeCell ref="A1:G1"/>
    <mergeCell ref="A2:G2"/>
    <mergeCell ref="A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2026-05-12T08:56:40Z</dcterms:created>
  <dc:creator>openpyxl</dc:creator>
  <dc:description/>
  <dc:language>en-US</dc:language>
  <cp:lastModifiedBy/>
  <dcterms:modified xsi:type="dcterms:W3CDTF">2026-05-12T08:57:44Z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